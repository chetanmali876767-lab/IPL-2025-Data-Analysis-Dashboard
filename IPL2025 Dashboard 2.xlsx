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439fc08c6e63e60/Desktop/ITVedant/EXCEL/"/>
    </mc:Choice>
  </mc:AlternateContent>
  <xr:revisionPtr revIDLastSave="40" documentId="13_ncr:1_{2A067E78-EB68-4FA0-AAD1-456C501E8837}" xr6:coauthVersionLast="47" xr6:coauthVersionMax="47" xr10:uidLastSave="{02726675-A17A-45F5-B4AB-938939D9B085}"/>
  <bookViews>
    <workbookView xWindow="-108" yWindow="-108" windowWidth="23256" windowHeight="12456" firstSheet="4" activeTab="7" xr2:uid="{9B5D2A1D-AE60-43AE-91FA-B990B50370B0}"/>
  </bookViews>
  <sheets>
    <sheet name="Top Players by Runs" sheetId="3" r:id="rId1"/>
    <sheet name="Runs by Team" sheetId="4" r:id="rId2"/>
    <sheet name="Strike Rate vs Player" sheetId="5" r:id="rId3"/>
    <sheet name="Boundaries Analysis" sheetId="6" r:id="rId4"/>
    <sheet name="Team wise 100s &amp; 50s" sheetId="7" r:id="rId5"/>
    <sheet name="Slicer1" sheetId="8" r:id="rId6"/>
    <sheet name="IPL2025Batters" sheetId="2" r:id="rId7"/>
    <sheet name="Dashboard" sheetId="1" r:id="rId8"/>
  </sheets>
  <definedNames>
    <definedName name="ExternalData_1" localSheetId="6" hidden="1">IPL2025Batters!$A$1:$N$157</definedName>
    <definedName name="Slicer_Player_Name">#N/A</definedName>
    <definedName name="Slicer_Tea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8" l="1"/>
  <c r="D6" i="8"/>
  <c r="B6" i="8"/>
  <c r="A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89245-29C6-493F-BF68-3C1C001C9B10}" keepAlive="1" name="Query - IPL2025Batters" description="Connection to the 'IPL2025Batters' query in the workbook." type="5" refreshedVersion="8" background="1" saveData="1">
    <dbPr connection="Provider=Microsoft.Mashup.OleDb.1;Data Source=$Workbook$;Location=IPL2025Batters;Extended Properties=&quot;&quot;" command="SELECT * FROM [IPL2025Batters]"/>
  </connection>
</connections>
</file>

<file path=xl/sharedStrings.xml><?xml version="1.0" encoding="utf-8"?>
<sst xmlns="http://schemas.openxmlformats.org/spreadsheetml/2006/main" count="721" uniqueCount="413">
  <si>
    <t>Player Name</t>
  </si>
  <si>
    <t>Team</t>
  </si>
  <si>
    <t>Runs</t>
  </si>
  <si>
    <t>Matches</t>
  </si>
  <si>
    <t>Inn</t>
  </si>
  <si>
    <t>No</t>
  </si>
  <si>
    <t>HS</t>
  </si>
  <si>
    <t>AVG</t>
  </si>
  <si>
    <t>BF</t>
  </si>
  <si>
    <t>SR</t>
  </si>
  <si>
    <t>100s</t>
  </si>
  <si>
    <t>50s</t>
  </si>
  <si>
    <t>4s</t>
  </si>
  <si>
    <t>6s</t>
  </si>
  <si>
    <t>Sai Sudharsan</t>
  </si>
  <si>
    <t>GT</t>
  </si>
  <si>
    <t>108*</t>
  </si>
  <si>
    <t>54.21</t>
  </si>
  <si>
    <t>Surya Kumar Yadav</t>
  </si>
  <si>
    <t>MI</t>
  </si>
  <si>
    <t>73*</t>
  </si>
  <si>
    <t>65.18</t>
  </si>
  <si>
    <t>Virat Kohli</t>
  </si>
  <si>
    <t>RCB</t>
  </si>
  <si>
    <t>54.75</t>
  </si>
  <si>
    <t>Shubman Gill</t>
  </si>
  <si>
    <t>93*</t>
  </si>
  <si>
    <t>50.00</t>
  </si>
  <si>
    <t>Mitchell Marsh</t>
  </si>
  <si>
    <t>LSG</t>
  </si>
  <si>
    <t>117</t>
  </si>
  <si>
    <t>48.23</t>
  </si>
  <si>
    <t>Shreyas Iyer</t>
  </si>
  <si>
    <t>PBKS</t>
  </si>
  <si>
    <t>97*</t>
  </si>
  <si>
    <t>50.33</t>
  </si>
  <si>
    <t>Yashasvi Jaiswal</t>
  </si>
  <si>
    <t>RR</t>
  </si>
  <si>
    <t>75</t>
  </si>
  <si>
    <t>43.00</t>
  </si>
  <si>
    <t>Prabhsimran Singh</t>
  </si>
  <si>
    <t>91</t>
  </si>
  <si>
    <t>32.29</t>
  </si>
  <si>
    <t>K L Rahul</t>
  </si>
  <si>
    <t>DC</t>
  </si>
  <si>
    <t>112*</t>
  </si>
  <si>
    <t>53.90</t>
  </si>
  <si>
    <t>Jos Buttler</t>
  </si>
  <si>
    <t>59.78</t>
  </si>
  <si>
    <t>Nicholas Pooran</t>
  </si>
  <si>
    <t>87*</t>
  </si>
  <si>
    <t>43.67</t>
  </si>
  <si>
    <t>Heinrich Klaasen</t>
  </si>
  <si>
    <t>SRH</t>
  </si>
  <si>
    <t>105*</t>
  </si>
  <si>
    <t>44.27</t>
  </si>
  <si>
    <t>Priyansh Arya</t>
  </si>
  <si>
    <t>103</t>
  </si>
  <si>
    <t>27.94</t>
  </si>
  <si>
    <t>Aiden Markram</t>
  </si>
  <si>
    <t>66</t>
  </si>
  <si>
    <t>34.23</t>
  </si>
  <si>
    <t>Abhishek Sharma</t>
  </si>
  <si>
    <t>141</t>
  </si>
  <si>
    <t>33.77</t>
  </si>
  <si>
    <t>Rohit Sharma</t>
  </si>
  <si>
    <t>81</t>
  </si>
  <si>
    <t>29.86</t>
  </si>
  <si>
    <t>Phil Salt</t>
  </si>
  <si>
    <t>65</t>
  </si>
  <si>
    <t>33.58</t>
  </si>
  <si>
    <t>Riyan Parag</t>
  </si>
  <si>
    <t>95</t>
  </si>
  <si>
    <t>32.75</t>
  </si>
  <si>
    <t>Ajinkya Rahane</t>
  </si>
  <si>
    <t>KKR</t>
  </si>
  <si>
    <t>61</t>
  </si>
  <si>
    <t>35.45</t>
  </si>
  <si>
    <t>Ryan Rickelton</t>
  </si>
  <si>
    <t>62*</t>
  </si>
  <si>
    <t>29.85</t>
  </si>
  <si>
    <t>Travis Head</t>
  </si>
  <si>
    <t>76</t>
  </si>
  <si>
    <t>31.17</t>
  </si>
  <si>
    <t>Nehal Wadhera</t>
  </si>
  <si>
    <t>70</t>
  </si>
  <si>
    <t>30.75</t>
  </si>
  <si>
    <t>Shivam Dube</t>
  </si>
  <si>
    <t>CSK</t>
  </si>
  <si>
    <t>50</t>
  </si>
  <si>
    <t>32.45</t>
  </si>
  <si>
    <t>Ishan Kishan</t>
  </si>
  <si>
    <t>106*</t>
  </si>
  <si>
    <t>35.40</t>
  </si>
  <si>
    <t>Shashank Singh</t>
  </si>
  <si>
    <t>61*</t>
  </si>
  <si>
    <t>N Tilak Varma</t>
  </si>
  <si>
    <t>59</t>
  </si>
  <si>
    <t>31.18</t>
  </si>
  <si>
    <t>Dhruv Jurel</t>
  </si>
  <si>
    <t>37.00</t>
  </si>
  <si>
    <t>Ayush Badoni</t>
  </si>
  <si>
    <t>74</t>
  </si>
  <si>
    <t>32.90</t>
  </si>
  <si>
    <t>Rajat Patidar</t>
  </si>
  <si>
    <t>64</t>
  </si>
  <si>
    <t>24.00</t>
  </si>
  <si>
    <t>Abishek Porel</t>
  </si>
  <si>
    <t>51</t>
  </si>
  <si>
    <t>25.08</t>
  </si>
  <si>
    <t>Ravindra Jadeja</t>
  </si>
  <si>
    <t>77*</t>
  </si>
  <si>
    <t>33.44</t>
  </si>
  <si>
    <t>Tristan Stubbs</t>
  </si>
  <si>
    <t>41*</t>
  </si>
  <si>
    <t>Angkrish Raghuvanshi</t>
  </si>
  <si>
    <t>33.33</t>
  </si>
  <si>
    <t>Sherfane Rutherford</t>
  </si>
  <si>
    <t>46</t>
  </si>
  <si>
    <t>32.33</t>
  </si>
  <si>
    <t>Sanju Samson</t>
  </si>
  <si>
    <t>35.63</t>
  </si>
  <si>
    <t>Josh Inglis</t>
  </si>
  <si>
    <t>73</t>
  </si>
  <si>
    <t>30.89</t>
  </si>
  <si>
    <t>Rishabh Pant</t>
  </si>
  <si>
    <t>118*</t>
  </si>
  <si>
    <t>24.45</t>
  </si>
  <si>
    <t>Axar Patel</t>
  </si>
  <si>
    <t>43</t>
  </si>
  <si>
    <t>26.30</t>
  </si>
  <si>
    <t>Jitesh Sharma</t>
  </si>
  <si>
    <t>85*</t>
  </si>
  <si>
    <t>37.29</t>
  </si>
  <si>
    <t>Vaibhav Suryavanshi</t>
  </si>
  <si>
    <t>101</t>
  </si>
  <si>
    <t>36.00</t>
  </si>
  <si>
    <t>Naman Dhir</t>
  </si>
  <si>
    <t>31.50</t>
  </si>
  <si>
    <t>Devdutt Padikkal</t>
  </si>
  <si>
    <t>27.44</t>
  </si>
  <si>
    <t>Sunil Narine</t>
  </si>
  <si>
    <t>44</t>
  </si>
  <si>
    <t>22.36</t>
  </si>
  <si>
    <t>Ayush Mhatre</t>
  </si>
  <si>
    <t>94</t>
  </si>
  <si>
    <t>34.29</t>
  </si>
  <si>
    <t>Shimron Hetmyer</t>
  </si>
  <si>
    <t>52</t>
  </si>
  <si>
    <t>21.73</t>
  </si>
  <si>
    <t>Aniket Verma</t>
  </si>
  <si>
    <t>26.22</t>
  </si>
  <si>
    <t>Will Jacks</t>
  </si>
  <si>
    <t>53</t>
  </si>
  <si>
    <t>23.30</t>
  </si>
  <si>
    <t>Dewald Brevis</t>
  </si>
  <si>
    <t>57</t>
  </si>
  <si>
    <t>37.50</t>
  </si>
  <si>
    <t>Hardik Pandya</t>
  </si>
  <si>
    <t>48*</t>
  </si>
  <si>
    <t>24.89</t>
  </si>
  <si>
    <t>Nitish Rana</t>
  </si>
  <si>
    <t>21.70</t>
  </si>
  <si>
    <t>Rinku Singh</t>
  </si>
  <si>
    <t>38*</t>
  </si>
  <si>
    <t>29.43</t>
  </si>
  <si>
    <t>Ashutosh Sharma</t>
  </si>
  <si>
    <t>66*</t>
  </si>
  <si>
    <t>29.14</t>
  </si>
  <si>
    <t>Faf Du Plessis</t>
  </si>
  <si>
    <t>62</t>
  </si>
  <si>
    <t>22.44</t>
  </si>
  <si>
    <t>Karun Nair</t>
  </si>
  <si>
    <t>89</t>
  </si>
  <si>
    <t>24.75</t>
  </si>
  <si>
    <t>MS Dhoni</t>
  </si>
  <si>
    <t>30*</t>
  </si>
  <si>
    <t>24.50</t>
  </si>
  <si>
    <t>Rachin Ravindra</t>
  </si>
  <si>
    <t>65*</t>
  </si>
  <si>
    <t>27.29</t>
  </si>
  <si>
    <t>Tim David</t>
  </si>
  <si>
    <t>50*</t>
  </si>
  <si>
    <t>62.33</t>
  </si>
  <si>
    <t>Nitish Kumar Reddy</t>
  </si>
  <si>
    <t>32</t>
  </si>
  <si>
    <t>22.75</t>
  </si>
  <si>
    <t>Shahrukh Khan</t>
  </si>
  <si>
    <t>29.83</t>
  </si>
  <si>
    <t>Andre Russell</t>
  </si>
  <si>
    <t>57*</t>
  </si>
  <si>
    <t>18.56</t>
  </si>
  <si>
    <t>Abdul Samad</t>
  </si>
  <si>
    <t>45</t>
  </si>
  <si>
    <t>20.50</t>
  </si>
  <si>
    <t>Marcus Stoinis</t>
  </si>
  <si>
    <t>44*</t>
  </si>
  <si>
    <t>26.67</t>
  </si>
  <si>
    <t>Devon Conway</t>
  </si>
  <si>
    <t>69</t>
  </si>
  <si>
    <t>26.00</t>
  </si>
  <si>
    <t>David Miller</t>
  </si>
  <si>
    <t>27*</t>
  </si>
  <si>
    <t>30.60</t>
  </si>
  <si>
    <t>Quinton De Kock</t>
  </si>
  <si>
    <t>21.71</t>
  </si>
  <si>
    <t>Vipraj Nigam</t>
  </si>
  <si>
    <t>39</t>
  </si>
  <si>
    <t>20.29</t>
  </si>
  <si>
    <t>Venkatesh Iyer</t>
  </si>
  <si>
    <t>60</t>
  </si>
  <si>
    <t>Washington Sundar</t>
  </si>
  <si>
    <t>49</t>
  </si>
  <si>
    <t>26.60</t>
  </si>
  <si>
    <t>Ruturaj Gaikwad</t>
  </si>
  <si>
    <t>63</t>
  </si>
  <si>
    <t>24.40</t>
  </si>
  <si>
    <t>Sameer Rizvi</t>
  </si>
  <si>
    <t>58*</t>
  </si>
  <si>
    <t>40.33</t>
  </si>
  <si>
    <t>Vijay Shankar</t>
  </si>
  <si>
    <t>69*</t>
  </si>
  <si>
    <t>39.33</t>
  </si>
  <si>
    <t>Sam Curran</t>
  </si>
  <si>
    <t>88</t>
  </si>
  <si>
    <t>22.80</t>
  </si>
  <si>
    <t>Liam Livingstone</t>
  </si>
  <si>
    <t>54</t>
  </si>
  <si>
    <t>16.00</t>
  </si>
  <si>
    <t>Krunal Pandya</t>
  </si>
  <si>
    <t>18.17</t>
  </si>
  <si>
    <t>Shubham Dubey</t>
  </si>
  <si>
    <t>34*</t>
  </si>
  <si>
    <t>26.50</t>
  </si>
  <si>
    <t>Rahul Tewatia</t>
  </si>
  <si>
    <t>24*</t>
  </si>
  <si>
    <t>12.38</t>
  </si>
  <si>
    <t>Pat Cummins</t>
  </si>
  <si>
    <t>22*</t>
  </si>
  <si>
    <t>24.25</t>
  </si>
  <si>
    <t>Mayank Agarwal</t>
  </si>
  <si>
    <t>31.67</t>
  </si>
  <si>
    <t>Manish Pandey</t>
  </si>
  <si>
    <t>37</t>
  </si>
  <si>
    <t>46.00</t>
  </si>
  <si>
    <t>Kamindu Mendis</t>
  </si>
  <si>
    <t>32*</t>
  </si>
  <si>
    <t>30.67</t>
  </si>
  <si>
    <t>Jonny Bairstow</t>
  </si>
  <si>
    <t>47</t>
  </si>
  <si>
    <t>42.50</t>
  </si>
  <si>
    <t>Marco Jansen</t>
  </si>
  <si>
    <t>18.75</t>
  </si>
  <si>
    <t>Rahmanullah Gurbaz</t>
  </si>
  <si>
    <t>35</t>
  </si>
  <si>
    <t>18.50</t>
  </si>
  <si>
    <t>Shaik Rasheed</t>
  </si>
  <si>
    <t>27</t>
  </si>
  <si>
    <t>14.20</t>
  </si>
  <si>
    <t>Romario Shepherd</t>
  </si>
  <si>
    <t>53*</t>
  </si>
  <si>
    <t>35.00</t>
  </si>
  <si>
    <t>Urvil Patel</t>
  </si>
  <si>
    <t>22.67</t>
  </si>
  <si>
    <t>Jacob Bethell</t>
  </si>
  <si>
    <t>55</t>
  </si>
  <si>
    <t>33.50</t>
  </si>
  <si>
    <t>Jofra Archer</t>
  </si>
  <si>
    <t>30</t>
  </si>
  <si>
    <t>10.50</t>
  </si>
  <si>
    <t>Abhinav Manohar</t>
  </si>
  <si>
    <t>12.20</t>
  </si>
  <si>
    <t>Azmatullah Omarzai</t>
  </si>
  <si>
    <t>21*</t>
  </si>
  <si>
    <t>14.25</t>
  </si>
  <si>
    <t>Harshit Rana</t>
  </si>
  <si>
    <t>34</t>
  </si>
  <si>
    <t>Jake Fraser - McGurk</t>
  </si>
  <si>
    <t>38</t>
  </si>
  <si>
    <t>9.17</t>
  </si>
  <si>
    <t>Rahul Tripathi</t>
  </si>
  <si>
    <t>23</t>
  </si>
  <si>
    <t>11.00</t>
  </si>
  <si>
    <t>Glenn Maxwell</t>
  </si>
  <si>
    <t>8.00</t>
  </si>
  <si>
    <t>Corbin Bosch</t>
  </si>
  <si>
    <t>23.50</t>
  </si>
  <si>
    <t>Ramandeep Singh</t>
  </si>
  <si>
    <t>22</t>
  </si>
  <si>
    <t>9.40</t>
  </si>
  <si>
    <t>Rashid Khan</t>
  </si>
  <si>
    <t>12</t>
  </si>
  <si>
    <t>Mitchell Santner</t>
  </si>
  <si>
    <t>18*</t>
  </si>
  <si>
    <t>20.00</t>
  </si>
  <si>
    <t>Deepak Chahar</t>
  </si>
  <si>
    <t>28*</t>
  </si>
  <si>
    <t>Ravichandran Ashwin</t>
  </si>
  <si>
    <t>13</t>
  </si>
  <si>
    <t>8.25</t>
  </si>
  <si>
    <t>Deepak Hooda</t>
  </si>
  <si>
    <t>6.20</t>
  </si>
  <si>
    <t>Mohd Arshad Khan</t>
  </si>
  <si>
    <t>20</t>
  </si>
  <si>
    <t>11.50</t>
  </si>
  <si>
    <t>Sediqullah Atal</t>
  </si>
  <si>
    <t>22.00</t>
  </si>
  <si>
    <t>Avesh Khan</t>
  </si>
  <si>
    <t>19*</t>
  </si>
  <si>
    <t>21.00</t>
  </si>
  <si>
    <t>Harshal Patel</t>
  </si>
  <si>
    <t>12*</t>
  </si>
  <si>
    <t>Kusal Mendis</t>
  </si>
  <si>
    <t>Shardul Thakur</t>
  </si>
  <si>
    <t>6</t>
  </si>
  <si>
    <t>6.00</t>
  </si>
  <si>
    <t>Kuldeep Yadav</t>
  </si>
  <si>
    <t>7</t>
  </si>
  <si>
    <t>Gerald Coetzee</t>
  </si>
  <si>
    <t>8.50</t>
  </si>
  <si>
    <t>Jamie Overton</t>
  </si>
  <si>
    <t>11*</t>
  </si>
  <si>
    <t>-</t>
  </si>
  <si>
    <t>Anshul Kamboj</t>
  </si>
  <si>
    <t>5*</t>
  </si>
  <si>
    <t>7.00</t>
  </si>
  <si>
    <t>Matthew Breetzke</t>
  </si>
  <si>
    <t>14</t>
  </si>
  <si>
    <t>14.00</t>
  </si>
  <si>
    <t>Bhuvneshwar Kumar</t>
  </si>
  <si>
    <t>8</t>
  </si>
  <si>
    <t>4.67</t>
  </si>
  <si>
    <t>Atharva Taide</t>
  </si>
  <si>
    <t>13.00</t>
  </si>
  <si>
    <t>Ravi Bishnoi</t>
  </si>
  <si>
    <t>6.50</t>
  </si>
  <si>
    <t>Harpreet Brar</t>
  </si>
  <si>
    <t>7*</t>
  </si>
  <si>
    <t>Xavier Bartlett</t>
  </si>
  <si>
    <t>11</t>
  </si>
  <si>
    <t>Mohammad Shami</t>
  </si>
  <si>
    <t>6*</t>
  </si>
  <si>
    <t>10.00</t>
  </si>
  <si>
    <t>Dushmantha Chameera</t>
  </si>
  <si>
    <t>8*</t>
  </si>
  <si>
    <t>Maheesh Theekshana</t>
  </si>
  <si>
    <t>5</t>
  </si>
  <si>
    <t>5.00</t>
  </si>
  <si>
    <t>Kagiso Rabada</t>
  </si>
  <si>
    <t>9.00</t>
  </si>
  <si>
    <t>Shahbaz Ahmed</t>
  </si>
  <si>
    <t>9</t>
  </si>
  <si>
    <t>Wiaan Mulder</t>
  </si>
  <si>
    <t>Wanindu Hasaranga</t>
  </si>
  <si>
    <t>4</t>
  </si>
  <si>
    <t>1.80</t>
  </si>
  <si>
    <t>Kwena Maphaka</t>
  </si>
  <si>
    <t>Raj Angad Bawa</t>
  </si>
  <si>
    <t>Tushar Deshpande</t>
  </si>
  <si>
    <t>3</t>
  </si>
  <si>
    <t>Suryansh Shedge</t>
  </si>
  <si>
    <t>2.33</t>
  </si>
  <si>
    <t>Noor Ahmad</t>
  </si>
  <si>
    <t>2*</t>
  </si>
  <si>
    <t>1.75</t>
  </si>
  <si>
    <t>Akash Deep</t>
  </si>
  <si>
    <t>Sandeep Sharma</t>
  </si>
  <si>
    <t>Mitchell Starc</t>
  </si>
  <si>
    <t>3.00</t>
  </si>
  <si>
    <t>Robin Minz</t>
  </si>
  <si>
    <t>Rovman Powell</t>
  </si>
  <si>
    <t>Sai Kishore</t>
  </si>
  <si>
    <t>1.67</t>
  </si>
  <si>
    <t>Prince Yadav</t>
  </si>
  <si>
    <t>4*</t>
  </si>
  <si>
    <t>Moeen Ali</t>
  </si>
  <si>
    <t>2.50</t>
  </si>
  <si>
    <t>Lockie Ferguson</t>
  </si>
  <si>
    <t>Yash Dayal</t>
  </si>
  <si>
    <t>2.00</t>
  </si>
  <si>
    <t>Akash Madhwal</t>
  </si>
  <si>
    <t>Madhav Tiwari</t>
  </si>
  <si>
    <t>Mohammed Siraj</t>
  </si>
  <si>
    <t>3*</t>
  </si>
  <si>
    <t>Kumar Kartikeya Singh</t>
  </si>
  <si>
    <t>2</t>
  </si>
  <si>
    <t>1.50</t>
  </si>
  <si>
    <t>Simarjeet Singh</t>
  </si>
  <si>
    <t>Fazalhaq Farooqi</t>
  </si>
  <si>
    <t>Trent Boult</t>
  </si>
  <si>
    <t>1*</t>
  </si>
  <si>
    <t>Spencer Johnson</t>
  </si>
  <si>
    <t>Arshdeep Singh</t>
  </si>
  <si>
    <t>Varun Chakaravarthy</t>
  </si>
  <si>
    <t>V Satyanarayana Penmetsa</t>
  </si>
  <si>
    <t>Karn Sharma</t>
  </si>
  <si>
    <t>Khaleel Ahmed</t>
  </si>
  <si>
    <t>Mohit Sharma</t>
  </si>
  <si>
    <t>1.00</t>
  </si>
  <si>
    <t>Donovan Ferreira</t>
  </si>
  <si>
    <t>1</t>
  </si>
  <si>
    <t>Digvesh Singh</t>
  </si>
  <si>
    <t>Manoj Bhandage</t>
  </si>
  <si>
    <t>Row Labels</t>
  </si>
  <si>
    <t>Grand Total</t>
  </si>
  <si>
    <t>Sum of Runs</t>
  </si>
  <si>
    <t>Sum of SR</t>
  </si>
  <si>
    <t>Sum of 4s</t>
  </si>
  <si>
    <t>Sum of 6s</t>
  </si>
  <si>
    <t>Sum of 100s</t>
  </si>
  <si>
    <t>Sum of 50s</t>
  </si>
  <si>
    <t>Sum of Matches</t>
  </si>
  <si>
    <t>Average of 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</si>
</sst>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164" formatCode="0.0"/>
    </dxf>
    <dxf>
      <font>
        <b/>
        <i val="0"/>
        <sz val="22"/>
      </font>
    </dxf>
  </dxfs>
  <tableStyles count="1" defaultTableStyle="TableStyleMedium2" defaultPivotStyle="PivotStyleLight16">
    <tableStyle name="Slicer Style 1" pivot="0" table="0" count="1" xr9:uid="{2CB6B7A0-6DEF-43F1-89DB-457D8D4C0835}">
      <tableStyleElement type="wholeTable" dxfId="25"/>
    </tableStyle>
  </tableStyles>
  <colors>
    <mruColors>
      <color rgb="FF16E0E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2.xlsx]Top Players by Runs!PivotTable1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Runs Scorer</a:t>
            </a:r>
            <a:endParaRPr lang="en-US"/>
          </a:p>
        </c:rich>
      </c:tx>
      <c:layout>
        <c:manualLayout>
          <c:xMode val="edge"/>
          <c:yMode val="edge"/>
          <c:x val="0.32951377952755906"/>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Players by Runs'!$B$3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Players by Runs'!$A$4:$A$14</c:f>
              <c:strCache>
                <c:ptCount val="10"/>
                <c:pt idx="0">
                  <c:v>Sai Sudharsan</c:v>
                </c:pt>
                <c:pt idx="1">
                  <c:v>Surya Kumar Yadav</c:v>
                </c:pt>
                <c:pt idx="2">
                  <c:v>Virat Kohli</c:v>
                </c:pt>
                <c:pt idx="3">
                  <c:v>Shubman Gill</c:v>
                </c:pt>
                <c:pt idx="4">
                  <c:v>Mitchell Marsh</c:v>
                </c:pt>
                <c:pt idx="5">
                  <c:v>Shreyas Iyer</c:v>
                </c:pt>
                <c:pt idx="6">
                  <c:v>Yashasvi Jaiswal</c:v>
                </c:pt>
                <c:pt idx="7">
                  <c:v>Prabhsimran Singh</c:v>
                </c:pt>
                <c:pt idx="8">
                  <c:v>K L Rahul</c:v>
                </c:pt>
                <c:pt idx="9">
                  <c:v>Jos Buttler</c:v>
                </c:pt>
              </c:strCache>
            </c:strRef>
          </c:cat>
          <c:val>
            <c:numRef>
              <c:f>'Top Players by Runs'!$B$4:$B$14</c:f>
              <c:numCache>
                <c:formatCode>General</c:formatCode>
                <c:ptCount val="10"/>
                <c:pt idx="0">
                  <c:v>759</c:v>
                </c:pt>
                <c:pt idx="1">
                  <c:v>717</c:v>
                </c:pt>
                <c:pt idx="2">
                  <c:v>657</c:v>
                </c:pt>
                <c:pt idx="3">
                  <c:v>650</c:v>
                </c:pt>
                <c:pt idx="4">
                  <c:v>627</c:v>
                </c:pt>
                <c:pt idx="5">
                  <c:v>604</c:v>
                </c:pt>
                <c:pt idx="6">
                  <c:v>559</c:v>
                </c:pt>
                <c:pt idx="7">
                  <c:v>549</c:v>
                </c:pt>
                <c:pt idx="8">
                  <c:v>539</c:v>
                </c:pt>
                <c:pt idx="9">
                  <c:v>538</c:v>
                </c:pt>
              </c:numCache>
            </c:numRef>
          </c:val>
          <c:extLst>
            <c:ext xmlns:c16="http://schemas.microsoft.com/office/drawing/2014/chart" uri="{C3380CC4-5D6E-409C-BE32-E72D297353CC}">
              <c16:uniqueId val="{00000000-AACA-46EE-BA27-557B93CB9446}"/>
            </c:ext>
          </c:extLst>
        </c:ser>
        <c:dLbls>
          <c:dLblPos val="ctr"/>
          <c:showLegendKey val="0"/>
          <c:showVal val="1"/>
          <c:showCatName val="0"/>
          <c:showSerName val="0"/>
          <c:showPercent val="0"/>
          <c:showBubbleSize val="0"/>
        </c:dLbls>
        <c:gapWidth val="150"/>
        <c:axId val="1504446544"/>
        <c:axId val="1504447504"/>
      </c:barChart>
      <c:catAx>
        <c:axId val="1504446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4447504"/>
        <c:crosses val="autoZero"/>
        <c:auto val="1"/>
        <c:lblAlgn val="ctr"/>
        <c:lblOffset val="100"/>
        <c:noMultiLvlLbl val="0"/>
      </c:catAx>
      <c:valAx>
        <c:axId val="150444750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4446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2.xlsx]Runs by Team!PivotTable2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Runs By Team</a:t>
            </a:r>
          </a:p>
        </c:rich>
      </c:tx>
      <c:layout>
        <c:manualLayout>
          <c:xMode val="edge"/>
          <c:yMode val="edge"/>
          <c:x val="0.37449999999999994"/>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'Runs by Team'!$B$3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'Runs by Team'!$A$4:$A$14</c:f>
              <c:strCache>
                <c:ptCount val="10"/>
                <c:pt idx="0">
                  <c:v>CSK</c:v>
                </c:pt>
                <c:pt idx="1">
                  <c:v>DC</c:v>
                </c:pt>
                <c:pt idx="2">
                  <c:v>GT</c:v>
                </c:pt>
                <c:pt idx="3">
                  <c:v>KKR</c:v>
                </c:pt>
                <c:pt idx="4">
                  <c:v>LSG</c:v>
                </c:pt>
                <c:pt idx="5">
                  <c:v>MI</c:v>
                </c:pt>
                <c:pt idx="6">
                  <c:v>PBKS</c:v>
                </c:pt>
                <c:pt idx="7">
                  <c:v>RCB</c:v>
                </c:pt>
                <c:pt idx="8">
                  <c:v>RR</c:v>
                </c:pt>
                <c:pt idx="9">
                  <c:v>SRH</c:v>
                </c:pt>
              </c:strCache>
            </c:strRef>
          </c:cat>
          <c:val>
            <c:numRef>
              <c:f>'Runs by Team'!$B$4:$B$14</c:f>
              <c:numCache>
                <c:formatCode>General</c:formatCode>
                <c:ptCount val="10"/>
                <c:pt idx="0">
                  <c:v>2315</c:v>
                </c:pt>
                <c:pt idx="1">
                  <c:v>2386</c:v>
                </c:pt>
                <c:pt idx="2">
                  <c:v>2766</c:v>
                </c:pt>
                <c:pt idx="3">
                  <c:v>1886</c:v>
                </c:pt>
                <c:pt idx="4">
                  <c:v>2598</c:v>
                </c:pt>
                <c:pt idx="5">
                  <c:v>2802</c:v>
                </c:pt>
                <c:pt idx="6">
                  <c:v>3000</c:v>
                </c:pt>
                <c:pt idx="7">
                  <c:v>2539</c:v>
                </c:pt>
                <c:pt idx="8">
                  <c:v>2496</c:v>
                </c:pt>
                <c:pt idx="9">
                  <c:v>2378</c:v>
                </c:pt>
              </c:numCache>
            </c:numRef>
          </c:val>
          <c:extLst>
            <c:ext xmlns:c16="http://schemas.microsoft.com/office/drawing/2014/chart" uri="{C3380CC4-5D6E-409C-BE32-E72D297353CC}">
              <c16:uniqueId val="{00000000-024E-422A-B246-99B8998AD712}"/>
            </c:ext>
          </c:extLst>
        </c:ser>
        <c:dLbls>
          <c:showLegendKey val="0"/>
          <c:showVal val="0"/>
          <c:showCatName val="0"/>
          <c:showSerName val="0"/>
          <c:showPercent val="0"/>
          <c:showBubbleSize val="0"/>
        </c:dLbls>
        <c:gapWidth val="65"/>
        <c:shape val="box"/>
        <c:axId val="1499530320"/>
        <c:axId val="1691265024"/>
        <c:axId val="0"/>
      </c:bar3DChart>
      <c:catAx>
        <c:axId val="1499530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1265024"/>
        <c:crosses val="autoZero"/>
        <c:auto val="1"/>
        <c:lblAlgn val="ctr"/>
        <c:lblOffset val="100"/>
        <c:noMultiLvlLbl val="0"/>
      </c:catAx>
      <c:valAx>
        <c:axId val="16912650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95303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2.xlsx]Strike Rate vs Player!PivotTable3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Strike Rate vs Player</a:t>
            </a:r>
          </a:p>
        </c:rich>
      </c:tx>
      <c:layout>
        <c:manualLayout>
          <c:xMode val="edge"/>
          <c:yMode val="edge"/>
          <c:x val="0.36485223154952368"/>
          <c:y val="4.94396090937239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'Strike Rate vs Player'!$B$3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'Strike Rate vs Player'!$A$4:$A$14</c:f>
              <c:strCache>
                <c:ptCount val="10"/>
                <c:pt idx="0">
                  <c:v>Akash Deep</c:v>
                </c:pt>
                <c:pt idx="1">
                  <c:v>Jamie Overton</c:v>
                </c:pt>
                <c:pt idx="2">
                  <c:v>Kusal Mendis</c:v>
                </c:pt>
                <c:pt idx="3">
                  <c:v>Kwena Maphaka</c:v>
                </c:pt>
                <c:pt idx="4">
                  <c:v>Lockie Ferguson</c:v>
                </c:pt>
                <c:pt idx="5">
                  <c:v>Nicholas Pooran</c:v>
                </c:pt>
                <c:pt idx="6">
                  <c:v>Raj Angad Bawa</c:v>
                </c:pt>
                <c:pt idx="7">
                  <c:v>Romario Shepherd</c:v>
                </c:pt>
                <c:pt idx="8">
                  <c:v>Urvil Patel</c:v>
                </c:pt>
                <c:pt idx="9">
                  <c:v>Vaibhav Suryavanshi</c:v>
                </c:pt>
              </c:strCache>
            </c:strRef>
          </c:cat>
          <c:val>
            <c:numRef>
              <c:f>'Strike Rate vs Player'!$B$4:$B$14</c:f>
              <c:numCache>
                <c:formatCode>General</c:formatCode>
                <c:ptCount val="10"/>
                <c:pt idx="0">
                  <c:v>300</c:v>
                </c:pt>
                <c:pt idx="1">
                  <c:v>214.28</c:v>
                </c:pt>
                <c:pt idx="2">
                  <c:v>200</c:v>
                </c:pt>
                <c:pt idx="3">
                  <c:v>400</c:v>
                </c:pt>
                <c:pt idx="4">
                  <c:v>400</c:v>
                </c:pt>
                <c:pt idx="5">
                  <c:v>196.25</c:v>
                </c:pt>
                <c:pt idx="6">
                  <c:v>200</c:v>
                </c:pt>
                <c:pt idx="7">
                  <c:v>291.66000000000003</c:v>
                </c:pt>
                <c:pt idx="8">
                  <c:v>212.5</c:v>
                </c:pt>
                <c:pt idx="9">
                  <c:v>206.55</c:v>
                </c:pt>
              </c:numCache>
            </c:numRef>
          </c:val>
          <c:smooth val="0"/>
          <c:extLst>
            <c:ext xmlns:c16="http://schemas.microsoft.com/office/drawing/2014/chart" uri="{C3380CC4-5D6E-409C-BE32-E72D297353CC}">
              <c16:uniqueId val="{00000000-C60E-456E-ADA7-B86B41A64705}"/>
            </c:ext>
          </c:extLst>
        </c:ser>
        <c:dLbls>
          <c:dLblPos val="ctr"/>
          <c:showLegendKey val="0"/>
          <c:showVal val="1"/>
          <c:showCatName val="0"/>
          <c:showSerName val="0"/>
          <c:showPercent val="0"/>
          <c:showBubbleSize val="0"/>
        </c:dLbls>
        <c:marker val="1"/>
        <c:smooth val="0"/>
        <c:axId val="2045826303"/>
        <c:axId val="2045819583"/>
      </c:lineChart>
      <c:catAx>
        <c:axId val="204582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5819583"/>
        <c:crosses val="autoZero"/>
        <c:auto val="1"/>
        <c:lblAlgn val="ctr"/>
        <c:lblOffset val="100"/>
        <c:noMultiLvlLbl val="0"/>
      </c:catAx>
      <c:valAx>
        <c:axId val="2045819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458263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2.xlsx]Boundaries Analysis!PivotTable4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10 Boundaries Analysis</a:t>
            </a:r>
          </a:p>
        </c:rich>
      </c:tx>
      <c:layout>
        <c:manualLayout>
          <c:xMode val="edge"/>
          <c:yMode val="edge"/>
          <c:x val="0.26088188976377952"/>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'Boundaries Analysis'!$B$3</c:f>
              <c:strCache>
                <c:ptCount val="1"/>
                <c:pt idx="0">
                  <c:v>Sum of 4s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'Boundaries Analysis'!$A$4:$A$14</c:f>
              <c:strCache>
                <c:ptCount val="10"/>
                <c:pt idx="0">
                  <c:v>Surya Kumar Yadav</c:v>
                </c:pt>
                <c:pt idx="1">
                  <c:v>Mitchell Marsh</c:v>
                </c:pt>
                <c:pt idx="2">
                  <c:v>Prabhsimran Singh</c:v>
                </c:pt>
                <c:pt idx="3">
                  <c:v>Yashasvi Jaiswal</c:v>
                </c:pt>
                <c:pt idx="4">
                  <c:v>Priyansh Arya</c:v>
                </c:pt>
                <c:pt idx="5">
                  <c:v>Jos Buttler</c:v>
                </c:pt>
                <c:pt idx="6">
                  <c:v>Shubman Gill</c:v>
                </c:pt>
                <c:pt idx="7">
                  <c:v>Sai Sudharsan</c:v>
                </c:pt>
                <c:pt idx="8">
                  <c:v>K L Rahul</c:v>
                </c:pt>
                <c:pt idx="9">
                  <c:v>Virat Kohli</c:v>
                </c:pt>
              </c:strCache>
            </c:strRef>
          </c:cat>
          <c:val>
            <c:numRef>
              <c:f>'Boundaries Analysis'!$B$4:$B$14</c:f>
              <c:numCache>
                <c:formatCode>General</c:formatCode>
                <c:ptCount val="10"/>
                <c:pt idx="0">
                  <c:v>69</c:v>
                </c:pt>
                <c:pt idx="1">
                  <c:v>56</c:v>
                </c:pt>
                <c:pt idx="2">
                  <c:v>56</c:v>
                </c:pt>
                <c:pt idx="3">
                  <c:v>60</c:v>
                </c:pt>
                <c:pt idx="4">
                  <c:v>55</c:v>
                </c:pt>
                <c:pt idx="5">
                  <c:v>52</c:v>
                </c:pt>
                <c:pt idx="6">
                  <c:v>62</c:v>
                </c:pt>
                <c:pt idx="7">
                  <c:v>88</c:v>
                </c:pt>
                <c:pt idx="8">
                  <c:v>52</c:v>
                </c:pt>
                <c:pt idx="9">
                  <c:v>66</c:v>
                </c:pt>
              </c:numCache>
            </c:numRef>
          </c:val>
          <c:extLst>
            <c:ext xmlns:c16="http://schemas.microsoft.com/office/drawing/2014/chart" uri="{C3380CC4-5D6E-409C-BE32-E72D297353CC}">
              <c16:uniqueId val="{00000000-BBDF-45D5-9A69-FD46034DCB82}"/>
            </c:ext>
          </c:extLst>
        </c:ser>
        <c:ser>
          <c:idx val="1"/>
          <c:order val="1"/>
          <c:tx>
            <c:strRef>
              <c:f>'Boundaries Analysis'!$C$3</c:f>
              <c:strCache>
                <c:ptCount val="1"/>
                <c:pt idx="0">
                  <c:v>Sum of 6s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'Boundaries Analysis'!$A$4:$A$14</c:f>
              <c:strCache>
                <c:ptCount val="10"/>
                <c:pt idx="0">
                  <c:v>Surya Kumar Yadav</c:v>
                </c:pt>
                <c:pt idx="1">
                  <c:v>Mitchell Marsh</c:v>
                </c:pt>
                <c:pt idx="2">
                  <c:v>Prabhsimran Singh</c:v>
                </c:pt>
                <c:pt idx="3">
                  <c:v>Yashasvi Jaiswal</c:v>
                </c:pt>
                <c:pt idx="4">
                  <c:v>Priyansh Arya</c:v>
                </c:pt>
                <c:pt idx="5">
                  <c:v>Jos Buttler</c:v>
                </c:pt>
                <c:pt idx="6">
                  <c:v>Shubman Gill</c:v>
                </c:pt>
                <c:pt idx="7">
                  <c:v>Sai Sudharsan</c:v>
                </c:pt>
                <c:pt idx="8">
                  <c:v>K L Rahul</c:v>
                </c:pt>
                <c:pt idx="9">
                  <c:v>Virat Kohli</c:v>
                </c:pt>
              </c:strCache>
            </c:strRef>
          </c:cat>
          <c:val>
            <c:numRef>
              <c:f>'Boundaries Analysis'!$C$4:$C$14</c:f>
              <c:numCache>
                <c:formatCode>General</c:formatCode>
                <c:ptCount val="10"/>
                <c:pt idx="0">
                  <c:v>38</c:v>
                </c:pt>
                <c:pt idx="1">
                  <c:v>37</c:v>
                </c:pt>
                <c:pt idx="2">
                  <c:v>30</c:v>
                </c:pt>
                <c:pt idx="3">
                  <c:v>28</c:v>
                </c:pt>
                <c:pt idx="4">
                  <c:v>25</c:v>
                </c:pt>
                <c:pt idx="5">
                  <c:v>24</c:v>
                </c:pt>
                <c:pt idx="6">
                  <c:v>24</c:v>
                </c:pt>
                <c:pt idx="7">
                  <c:v>21</c:v>
                </c:pt>
                <c:pt idx="8">
                  <c:v>21</c:v>
                </c:pt>
                <c:pt idx="9">
                  <c:v>19</c:v>
                </c:pt>
              </c:numCache>
            </c:numRef>
          </c:val>
          <c:extLst>
            <c:ext xmlns:c16="http://schemas.microsoft.com/office/drawing/2014/chart" uri="{C3380CC4-5D6E-409C-BE32-E72D297353CC}">
              <c16:uniqueId val="{00000001-BBDF-45D5-9A69-FD46034DCB82}"/>
            </c:ext>
          </c:extLst>
        </c:ser>
        <c:dLbls>
          <c:dLblPos val="ctr"/>
          <c:showLegendKey val="0"/>
          <c:showVal val="1"/>
          <c:showCatName val="0"/>
          <c:showSerName val="0"/>
          <c:showPercent val="0"/>
          <c:showBubbleSize val="0"/>
        </c:dLbls>
        <c:gapWidth val="79"/>
        <c:overlap val="100"/>
        <c:axId val="665931615"/>
        <c:axId val="665928255"/>
      </c:barChart>
      <c:catAx>
        <c:axId val="6659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5928255"/>
        <c:crosses val="autoZero"/>
        <c:auto val="1"/>
        <c:lblAlgn val="ctr"/>
        <c:lblOffset val="100"/>
        <c:noMultiLvlLbl val="0"/>
      </c:catAx>
      <c:valAx>
        <c:axId val="665928255"/>
        <c:scaling>
          <c:orientation val="minMax"/>
        </c:scaling>
        <c:delete val="1"/>
        <c:axPos val="b"/>
        <c:numFmt formatCode="General" sourceLinked="1"/>
        <c:majorTickMark val="none"/>
        <c:minorTickMark val="none"/>
        <c:tickLblPos val="nextTo"/>
        <c:crossAx val="6659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2.xlsx]Team wise 100s &amp; 50s!PivotTable5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Team wise 100s</a:t>
            </a:r>
          </a:p>
        </c:rich>
      </c:tx>
      <c:layout>
        <c:manualLayout>
          <c:xMode val="edge"/>
          <c:yMode val="edge"/>
          <c:x val="0.35580422692805236"/>
          <c:y val="5.2461114774446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'Team wise 100s &amp; 50s'!$B$3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808-4CDE-B477-11B654F7F4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808-4CDE-B477-11B654F7F4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808-4CDE-B477-11B654F7F4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808-4CDE-B477-11B654F7F4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808-4CDE-B477-11B654F7F4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808-4CDE-B477-11B654F7F4C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808-4CDE-B477-11B654F7F4C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808-4CDE-B477-11B654F7F4C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808-4CDE-B477-11B654F7F4C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808-4CDE-B477-11B654F7F4CB}"/>
              </c:ext>
            </c:extLst>
          </c:dPt>
          <c:cat>
            <c:strRef>
              <c:f>'Team wise 100s &amp; 50s'!$A$4:$A$14</c:f>
              <c:strCache>
                <c:ptCount val="10"/>
                <c:pt idx="0">
                  <c:v>CSK</c:v>
                </c:pt>
                <c:pt idx="1">
                  <c:v>DC</c:v>
                </c:pt>
                <c:pt idx="2">
                  <c:v>GT</c:v>
                </c:pt>
                <c:pt idx="3">
                  <c:v>KKR</c:v>
                </c:pt>
                <c:pt idx="4">
                  <c:v>LSG</c:v>
                </c:pt>
                <c:pt idx="5">
                  <c:v>MI</c:v>
                </c:pt>
                <c:pt idx="6">
                  <c:v>PBKS</c:v>
                </c:pt>
                <c:pt idx="7">
                  <c:v>RCB</c:v>
                </c:pt>
                <c:pt idx="8">
                  <c:v>RR</c:v>
                </c:pt>
                <c:pt idx="9">
                  <c:v>SRH</c:v>
                </c:pt>
              </c:strCache>
            </c:strRef>
          </c:cat>
          <c:val>
            <c:numRef>
              <c:f>'Team wise 100s &amp; 50s'!$B$4:$B$14</c:f>
              <c:numCache>
                <c:formatCode>General</c:formatCode>
                <c:ptCount val="10"/>
                <c:pt idx="0">
                  <c:v>0</c:v>
                </c:pt>
                <c:pt idx="1">
                  <c:v>1</c:v>
                </c:pt>
                <c:pt idx="2">
                  <c:v>1</c:v>
                </c:pt>
                <c:pt idx="3">
                  <c:v>0</c:v>
                </c:pt>
                <c:pt idx="4">
                  <c:v>2</c:v>
                </c:pt>
                <c:pt idx="5">
                  <c:v>0</c:v>
                </c:pt>
                <c:pt idx="6">
                  <c:v>1</c:v>
                </c:pt>
                <c:pt idx="7">
                  <c:v>0</c:v>
                </c:pt>
                <c:pt idx="8">
                  <c:v>1</c:v>
                </c:pt>
                <c:pt idx="9">
                  <c:v>3</c:v>
                </c:pt>
              </c:numCache>
            </c:numRef>
          </c:val>
          <c:extLst>
            <c:ext xmlns:c16="http://schemas.microsoft.com/office/drawing/2014/chart" uri="{C3380CC4-5D6E-409C-BE32-E72D297353CC}">
              <c16:uniqueId val="{00000000-FE6B-4205-A8CD-5A1DB11F89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2.xlsx]Team wise 100s &amp; 50s!PivotTable1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Team wise 50s</a:t>
            </a:r>
          </a:p>
        </c:rich>
      </c:tx>
      <c:layout>
        <c:manualLayout>
          <c:xMode val="edge"/>
          <c:yMode val="edge"/>
          <c:x val="0.35574894514767935"/>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401367016622922"/>
          <c:w val="0.81597222222222221"/>
          <c:h val="0.68578922426363376"/>
        </c:manualLayout>
      </c:layout>
      <c:pie3DChart>
        <c:varyColors val="1"/>
        <c:ser>
          <c:idx val="0"/>
          <c:order val="0"/>
          <c:tx>
            <c:strRef>
              <c:f>'Team wise 100s &amp; 50s'!$B$22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A-4C60-B498-0CD0D5BC5A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A-4C60-B498-0CD0D5BC5A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A-4C60-B498-0CD0D5BC5A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DBA-4C60-B498-0CD0D5BC5A8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DBA-4C60-B498-0CD0D5BC5A8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DBA-4C60-B498-0CD0D5BC5A8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DBA-4C60-B498-0CD0D5BC5A8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DBA-4C60-B498-0CD0D5BC5A8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DBA-4C60-B498-0CD0D5BC5A8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DBA-4C60-B498-0CD0D5BC5A8E}"/>
              </c:ext>
            </c:extLst>
          </c:dPt>
          <c:cat>
            <c:strRef>
              <c:f>'Team wise 100s &amp; 50s'!$A$23:$A$33</c:f>
              <c:strCache>
                <c:ptCount val="10"/>
                <c:pt idx="0">
                  <c:v>CSK</c:v>
                </c:pt>
                <c:pt idx="1">
                  <c:v>DC</c:v>
                </c:pt>
                <c:pt idx="2">
                  <c:v>GT</c:v>
                </c:pt>
                <c:pt idx="3">
                  <c:v>KKR</c:v>
                </c:pt>
                <c:pt idx="4">
                  <c:v>LSG</c:v>
                </c:pt>
                <c:pt idx="5">
                  <c:v>MI</c:v>
                </c:pt>
                <c:pt idx="6">
                  <c:v>PBKS</c:v>
                </c:pt>
                <c:pt idx="7">
                  <c:v>RCB</c:v>
                </c:pt>
                <c:pt idx="8">
                  <c:v>RR</c:v>
                </c:pt>
                <c:pt idx="9">
                  <c:v>SRH</c:v>
                </c:pt>
              </c:strCache>
            </c:strRef>
          </c:cat>
          <c:val>
            <c:numRef>
              <c:f>'Team wise 100s &amp; 50s'!$B$23:$B$33</c:f>
              <c:numCache>
                <c:formatCode>General</c:formatCode>
                <c:ptCount val="10"/>
                <c:pt idx="0">
                  <c:v>13</c:v>
                </c:pt>
                <c:pt idx="1">
                  <c:v>9</c:v>
                </c:pt>
                <c:pt idx="2">
                  <c:v>18</c:v>
                </c:pt>
                <c:pt idx="3">
                  <c:v>7</c:v>
                </c:pt>
                <c:pt idx="4">
                  <c:v>19</c:v>
                </c:pt>
                <c:pt idx="5">
                  <c:v>15</c:v>
                </c:pt>
                <c:pt idx="6">
                  <c:v>18</c:v>
                </c:pt>
                <c:pt idx="7">
                  <c:v>22</c:v>
                </c:pt>
                <c:pt idx="8">
                  <c:v>14</c:v>
                </c:pt>
                <c:pt idx="9">
                  <c:v>8</c:v>
                </c:pt>
              </c:numCache>
            </c:numRef>
          </c:val>
          <c:extLst>
            <c:ext xmlns:c16="http://schemas.microsoft.com/office/drawing/2014/chart" uri="{C3380CC4-5D6E-409C-BE32-E72D297353CC}">
              <c16:uniqueId val="{00000000-8A8B-4E08-87B9-33C977768C6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2.xlsx]Top Players by Runs!PivotTable1</c:name>
    <c:fmtId val="1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Top Runs Scorer</a:t>
            </a:r>
          </a:p>
        </c:rich>
      </c:tx>
      <c:layout>
        <c:manualLayout>
          <c:xMode val="edge"/>
          <c:yMode val="edge"/>
          <c:x val="0.32765321072988229"/>
          <c:y val="3.61077280377173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Players by Runs'!$B$3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Players by Runs'!$A$4:$A$14</c:f>
              <c:strCache>
                <c:ptCount val="10"/>
                <c:pt idx="0">
                  <c:v>Sai Sudharsan</c:v>
                </c:pt>
                <c:pt idx="1">
                  <c:v>Surya Kumar Yadav</c:v>
                </c:pt>
                <c:pt idx="2">
                  <c:v>Virat Kohli</c:v>
                </c:pt>
                <c:pt idx="3">
                  <c:v>Shubman Gill</c:v>
                </c:pt>
                <c:pt idx="4">
                  <c:v>Mitchell Marsh</c:v>
                </c:pt>
                <c:pt idx="5">
                  <c:v>Shreyas Iyer</c:v>
                </c:pt>
                <c:pt idx="6">
                  <c:v>Yashasvi Jaiswal</c:v>
                </c:pt>
                <c:pt idx="7">
                  <c:v>Prabhsimran Singh</c:v>
                </c:pt>
                <c:pt idx="8">
                  <c:v>K L Rahul</c:v>
                </c:pt>
                <c:pt idx="9">
                  <c:v>Jos Buttler</c:v>
                </c:pt>
              </c:strCache>
            </c:strRef>
          </c:cat>
          <c:val>
            <c:numRef>
              <c:f>'Top Players by Runs'!$B$4:$B$14</c:f>
              <c:numCache>
                <c:formatCode>General</c:formatCode>
                <c:ptCount val="10"/>
                <c:pt idx="0">
                  <c:v>759</c:v>
                </c:pt>
                <c:pt idx="1">
                  <c:v>717</c:v>
                </c:pt>
                <c:pt idx="2">
                  <c:v>657</c:v>
                </c:pt>
                <c:pt idx="3">
                  <c:v>650</c:v>
                </c:pt>
                <c:pt idx="4">
                  <c:v>627</c:v>
                </c:pt>
                <c:pt idx="5">
                  <c:v>604</c:v>
                </c:pt>
                <c:pt idx="6">
                  <c:v>559</c:v>
                </c:pt>
                <c:pt idx="7">
                  <c:v>549</c:v>
                </c:pt>
                <c:pt idx="8">
                  <c:v>539</c:v>
                </c:pt>
                <c:pt idx="9">
                  <c:v>538</c:v>
                </c:pt>
              </c:numCache>
            </c:numRef>
          </c:val>
          <c:extLst>
            <c:ext xmlns:c16="http://schemas.microsoft.com/office/drawing/2014/chart" uri="{C3380CC4-5D6E-409C-BE32-E72D297353CC}">
              <c16:uniqueId val="{00000000-283C-4640-BCC0-9265FEB4EAFF}"/>
            </c:ext>
          </c:extLst>
        </c:ser>
        <c:dLbls>
          <c:dLblPos val="ctr"/>
          <c:showLegendKey val="0"/>
          <c:showVal val="1"/>
          <c:showCatName val="0"/>
          <c:showSerName val="0"/>
          <c:showPercent val="0"/>
          <c:showBubbleSize val="0"/>
        </c:dLbls>
        <c:gapWidth val="150"/>
        <c:axId val="1504446544"/>
        <c:axId val="1504447504"/>
      </c:barChart>
      <c:catAx>
        <c:axId val="1504446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504447504"/>
        <c:crosses val="autoZero"/>
        <c:auto val="1"/>
        <c:lblAlgn val="ctr"/>
        <c:lblOffset val="100"/>
        <c:noMultiLvlLbl val="0"/>
      </c:catAx>
      <c:valAx>
        <c:axId val="150444750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444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2.xlsx]Runs by Team!PivotTable2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Runs By Team</a:t>
            </a:r>
          </a:p>
        </c:rich>
      </c:tx>
      <c:layout>
        <c:manualLayout>
          <c:xMode val="edge"/>
          <c:yMode val="edge"/>
          <c:x val="0.37449999999999994"/>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'Runs by Team'!$B$3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'Runs by Team'!$A$4:$A$14</c:f>
              <c:strCache>
                <c:ptCount val="10"/>
                <c:pt idx="0">
                  <c:v>CSK</c:v>
                </c:pt>
                <c:pt idx="1">
                  <c:v>DC</c:v>
                </c:pt>
                <c:pt idx="2">
                  <c:v>GT</c:v>
                </c:pt>
                <c:pt idx="3">
                  <c:v>KKR</c:v>
                </c:pt>
                <c:pt idx="4">
                  <c:v>LSG</c:v>
                </c:pt>
                <c:pt idx="5">
                  <c:v>MI</c:v>
                </c:pt>
                <c:pt idx="6">
                  <c:v>PBKS</c:v>
                </c:pt>
                <c:pt idx="7">
                  <c:v>RCB</c:v>
                </c:pt>
                <c:pt idx="8">
                  <c:v>RR</c:v>
                </c:pt>
                <c:pt idx="9">
                  <c:v>SRH</c:v>
                </c:pt>
              </c:strCache>
            </c:strRef>
          </c:cat>
          <c:val>
            <c:numRef>
              <c:f>'Runs by Team'!$B$4:$B$14</c:f>
              <c:numCache>
                <c:formatCode>General</c:formatCode>
                <c:ptCount val="10"/>
                <c:pt idx="0">
                  <c:v>2315</c:v>
                </c:pt>
                <c:pt idx="1">
                  <c:v>2386</c:v>
                </c:pt>
                <c:pt idx="2">
                  <c:v>2766</c:v>
                </c:pt>
                <c:pt idx="3">
                  <c:v>1886</c:v>
                </c:pt>
                <c:pt idx="4">
                  <c:v>2598</c:v>
                </c:pt>
                <c:pt idx="5">
                  <c:v>2802</c:v>
                </c:pt>
                <c:pt idx="6">
                  <c:v>3000</c:v>
                </c:pt>
                <c:pt idx="7">
                  <c:v>2539</c:v>
                </c:pt>
                <c:pt idx="8">
                  <c:v>2496</c:v>
                </c:pt>
                <c:pt idx="9">
                  <c:v>2378</c:v>
                </c:pt>
              </c:numCache>
            </c:numRef>
          </c:val>
          <c:extLst>
            <c:ext xmlns:c16="http://schemas.microsoft.com/office/drawing/2014/chart" uri="{C3380CC4-5D6E-409C-BE32-E72D297353CC}">
              <c16:uniqueId val="{00000000-3E87-4F78-B198-16499F8B6932}"/>
            </c:ext>
          </c:extLst>
        </c:ser>
        <c:dLbls>
          <c:showLegendKey val="0"/>
          <c:showVal val="0"/>
          <c:showCatName val="0"/>
          <c:showSerName val="0"/>
          <c:showPercent val="0"/>
          <c:showBubbleSize val="0"/>
        </c:dLbls>
        <c:gapWidth val="65"/>
        <c:shape val="box"/>
        <c:axId val="1499530320"/>
        <c:axId val="1691265024"/>
        <c:axId val="0"/>
      </c:bar3DChart>
      <c:catAx>
        <c:axId val="1499530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1265024"/>
        <c:crosses val="autoZero"/>
        <c:auto val="1"/>
        <c:lblAlgn val="ctr"/>
        <c:lblOffset val="100"/>
        <c:noMultiLvlLbl val="0"/>
      </c:catAx>
      <c:valAx>
        <c:axId val="16912650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953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2.xlsx]Boundaries Analysis!PivotTable4</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t>Top 10 Boundaries Analysis</a:t>
            </a:r>
          </a:p>
        </c:rich>
      </c:tx>
      <c:layout>
        <c:manualLayout>
          <c:xMode val="edge"/>
          <c:yMode val="edge"/>
          <c:x val="0.23591024187328907"/>
          <c:y val="3.99954129101513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'Boundaries Analysis'!$B$3</c:f>
              <c:strCache>
                <c:ptCount val="1"/>
                <c:pt idx="0">
                  <c:v>Sum of 4s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'Boundaries Analysis'!$A$4:$A$14</c:f>
              <c:strCache>
                <c:ptCount val="10"/>
                <c:pt idx="0">
                  <c:v>Surya Kumar Yadav</c:v>
                </c:pt>
                <c:pt idx="1">
                  <c:v>Mitchell Marsh</c:v>
                </c:pt>
                <c:pt idx="2">
                  <c:v>Prabhsimran Singh</c:v>
                </c:pt>
                <c:pt idx="3">
                  <c:v>Yashasvi Jaiswal</c:v>
                </c:pt>
                <c:pt idx="4">
                  <c:v>Priyansh Arya</c:v>
                </c:pt>
                <c:pt idx="5">
                  <c:v>Jos Buttler</c:v>
                </c:pt>
                <c:pt idx="6">
                  <c:v>Shubman Gill</c:v>
                </c:pt>
                <c:pt idx="7">
                  <c:v>Sai Sudharsan</c:v>
                </c:pt>
                <c:pt idx="8">
                  <c:v>K L Rahul</c:v>
                </c:pt>
                <c:pt idx="9">
                  <c:v>Virat Kohli</c:v>
                </c:pt>
              </c:strCache>
            </c:strRef>
          </c:cat>
          <c:val>
            <c:numRef>
              <c:f>'Boundaries Analysis'!$B$4:$B$14</c:f>
              <c:numCache>
                <c:formatCode>General</c:formatCode>
                <c:ptCount val="10"/>
                <c:pt idx="0">
                  <c:v>69</c:v>
                </c:pt>
                <c:pt idx="1">
                  <c:v>56</c:v>
                </c:pt>
                <c:pt idx="2">
                  <c:v>56</c:v>
                </c:pt>
                <c:pt idx="3">
                  <c:v>60</c:v>
                </c:pt>
                <c:pt idx="4">
                  <c:v>55</c:v>
                </c:pt>
                <c:pt idx="5">
                  <c:v>52</c:v>
                </c:pt>
                <c:pt idx="6">
                  <c:v>62</c:v>
                </c:pt>
                <c:pt idx="7">
                  <c:v>88</c:v>
                </c:pt>
                <c:pt idx="8">
                  <c:v>52</c:v>
                </c:pt>
                <c:pt idx="9">
                  <c:v>66</c:v>
                </c:pt>
              </c:numCache>
            </c:numRef>
          </c:val>
          <c:extLst>
            <c:ext xmlns:c16="http://schemas.microsoft.com/office/drawing/2014/chart" uri="{C3380CC4-5D6E-409C-BE32-E72D297353CC}">
              <c16:uniqueId val="{00000000-EFA6-48CB-8666-071D276DC85A}"/>
            </c:ext>
          </c:extLst>
        </c:ser>
        <c:ser>
          <c:idx val="1"/>
          <c:order val="1"/>
          <c:tx>
            <c:strRef>
              <c:f>'Boundaries Analysis'!$C$3</c:f>
              <c:strCache>
                <c:ptCount val="1"/>
                <c:pt idx="0">
                  <c:v>Sum of 6s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'Boundaries Analysis'!$A$4:$A$14</c:f>
              <c:strCache>
                <c:ptCount val="10"/>
                <c:pt idx="0">
                  <c:v>Surya Kumar Yadav</c:v>
                </c:pt>
                <c:pt idx="1">
                  <c:v>Mitchell Marsh</c:v>
                </c:pt>
                <c:pt idx="2">
                  <c:v>Prabhsimran Singh</c:v>
                </c:pt>
                <c:pt idx="3">
                  <c:v>Yashasvi Jaiswal</c:v>
                </c:pt>
                <c:pt idx="4">
                  <c:v>Priyansh Arya</c:v>
                </c:pt>
                <c:pt idx="5">
                  <c:v>Jos Buttler</c:v>
                </c:pt>
                <c:pt idx="6">
                  <c:v>Shubman Gill</c:v>
                </c:pt>
                <c:pt idx="7">
                  <c:v>Sai Sudharsan</c:v>
                </c:pt>
                <c:pt idx="8">
                  <c:v>K L Rahul</c:v>
                </c:pt>
                <c:pt idx="9">
                  <c:v>Virat Kohli</c:v>
                </c:pt>
              </c:strCache>
            </c:strRef>
          </c:cat>
          <c:val>
            <c:numRef>
              <c:f>'Boundaries Analysis'!$C$4:$C$14</c:f>
              <c:numCache>
                <c:formatCode>General</c:formatCode>
                <c:ptCount val="10"/>
                <c:pt idx="0">
                  <c:v>38</c:v>
                </c:pt>
                <c:pt idx="1">
                  <c:v>37</c:v>
                </c:pt>
                <c:pt idx="2">
                  <c:v>30</c:v>
                </c:pt>
                <c:pt idx="3">
                  <c:v>28</c:v>
                </c:pt>
                <c:pt idx="4">
                  <c:v>25</c:v>
                </c:pt>
                <c:pt idx="5">
                  <c:v>24</c:v>
                </c:pt>
                <c:pt idx="6">
                  <c:v>24</c:v>
                </c:pt>
                <c:pt idx="7">
                  <c:v>21</c:v>
                </c:pt>
                <c:pt idx="8">
                  <c:v>21</c:v>
                </c:pt>
                <c:pt idx="9">
                  <c:v>19</c:v>
                </c:pt>
              </c:numCache>
            </c:numRef>
          </c:val>
          <c:extLst>
            <c:ext xmlns:c16="http://schemas.microsoft.com/office/drawing/2014/chart" uri="{C3380CC4-5D6E-409C-BE32-E72D297353CC}">
              <c16:uniqueId val="{00000001-EFA6-48CB-8666-071D276DC85A}"/>
            </c:ext>
          </c:extLst>
        </c:ser>
        <c:dLbls>
          <c:dLblPos val="ctr"/>
          <c:showLegendKey val="0"/>
          <c:showVal val="1"/>
          <c:showCatName val="0"/>
          <c:showSerName val="0"/>
          <c:showPercent val="0"/>
          <c:showBubbleSize val="0"/>
        </c:dLbls>
        <c:gapWidth val="79"/>
        <c:overlap val="100"/>
        <c:axId val="665931615"/>
        <c:axId val="665928255"/>
      </c:barChart>
      <c:catAx>
        <c:axId val="6659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665928255"/>
        <c:crosses val="autoZero"/>
        <c:auto val="1"/>
        <c:lblAlgn val="ctr"/>
        <c:lblOffset val="100"/>
        <c:noMultiLvlLbl val="0"/>
      </c:catAx>
      <c:valAx>
        <c:axId val="665928255"/>
        <c:scaling>
          <c:orientation val="minMax"/>
        </c:scaling>
        <c:delete val="1"/>
        <c:axPos val="b"/>
        <c:numFmt formatCode="General" sourceLinked="1"/>
        <c:majorTickMark val="none"/>
        <c:minorTickMark val="none"/>
        <c:tickLblPos val="nextTo"/>
        <c:crossAx val="6659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2.xlsx]Team wise 100s &amp; 50s!PivotTable5</c:name>
    <c:fmtId val="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Team wise 100s</a:t>
            </a:r>
          </a:p>
        </c:rich>
      </c:tx>
      <c:layout>
        <c:manualLayout>
          <c:xMode val="edge"/>
          <c:yMode val="edge"/>
          <c:x val="0.35580422692805236"/>
          <c:y val="5.24611147744462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455468716259895E-2"/>
          <c:y val="0.26440579832941458"/>
          <c:w val="0.81242174928859023"/>
          <c:h val="0.69934720156155306"/>
        </c:manualLayout>
      </c:layout>
      <c:pie3DChart>
        <c:varyColors val="1"/>
        <c:ser>
          <c:idx val="0"/>
          <c:order val="0"/>
          <c:tx>
            <c:strRef>
              <c:f>'Team wise 100s &amp; 50s'!$B$3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687-4FBF-B71A-541D1B009A2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687-4FBF-B71A-541D1B009A2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687-4FBF-B71A-541D1B009A2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687-4FBF-B71A-541D1B009A2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687-4FBF-B71A-541D1B009A2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2687-4FBF-B71A-541D1B009A2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687-4FBF-B71A-541D1B009A2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687-4FBF-B71A-541D1B009A2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2687-4FBF-B71A-541D1B009A2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2687-4FBF-B71A-541D1B009A2D}"/>
              </c:ext>
            </c:extLst>
          </c:dPt>
          <c:dLbls>
            <c:dLbl>
              <c:idx val="6"/>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687-4FBF-B71A-541D1B009A2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'Team wise 100s &amp; 50s'!$A$4:$A$14</c:f>
              <c:strCache>
                <c:ptCount val="10"/>
                <c:pt idx="0">
                  <c:v>CSK</c:v>
                </c:pt>
                <c:pt idx="1">
                  <c:v>DC</c:v>
                </c:pt>
                <c:pt idx="2">
                  <c:v>GT</c:v>
                </c:pt>
                <c:pt idx="3">
                  <c:v>KKR</c:v>
                </c:pt>
                <c:pt idx="4">
                  <c:v>LSG</c:v>
                </c:pt>
                <c:pt idx="5">
                  <c:v>MI</c:v>
                </c:pt>
                <c:pt idx="6">
                  <c:v>PBKS</c:v>
                </c:pt>
                <c:pt idx="7">
                  <c:v>RCB</c:v>
                </c:pt>
                <c:pt idx="8">
                  <c:v>RR</c:v>
                </c:pt>
                <c:pt idx="9">
                  <c:v>SRH</c:v>
                </c:pt>
              </c:strCache>
            </c:strRef>
          </c:cat>
          <c:val>
            <c:numRef>
              <c:f>'Team wise 100s &amp; 50s'!$B$4:$B$14</c:f>
              <c:numCache>
                <c:formatCode>General</c:formatCode>
                <c:ptCount val="10"/>
                <c:pt idx="0">
                  <c:v>0</c:v>
                </c:pt>
                <c:pt idx="1">
                  <c:v>1</c:v>
                </c:pt>
                <c:pt idx="2">
                  <c:v>1</c:v>
                </c:pt>
                <c:pt idx="3">
                  <c:v>0</c:v>
                </c:pt>
                <c:pt idx="4">
                  <c:v>2</c:v>
                </c:pt>
                <c:pt idx="5">
                  <c:v>0</c:v>
                </c:pt>
                <c:pt idx="6">
                  <c:v>1</c:v>
                </c:pt>
                <c:pt idx="7">
                  <c:v>0</c:v>
                </c:pt>
                <c:pt idx="8">
                  <c:v>1</c:v>
                </c:pt>
                <c:pt idx="9">
                  <c:v>3</c:v>
                </c:pt>
              </c:numCache>
            </c:numRef>
          </c:val>
          <c:extLst>
            <c:ext xmlns:c16="http://schemas.microsoft.com/office/drawing/2014/chart" uri="{C3380CC4-5D6E-409C-BE32-E72D297353CC}">
              <c16:uniqueId val="{00000014-2687-4FBF-B71A-541D1B009A2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2.xlsx]Team wise 100s &amp; 50s!PivotTable1</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Team wise 50s</a:t>
            </a:r>
          </a:p>
        </c:rich>
      </c:tx>
      <c:layout>
        <c:manualLayout>
          <c:xMode val="edge"/>
          <c:yMode val="edge"/>
          <c:x val="0.35574894514767935"/>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087771478284654E-2"/>
          <c:y val="0.22239706498069126"/>
          <c:w val="0.81597222222222221"/>
          <c:h val="0.68578922426363376"/>
        </c:manualLayout>
      </c:layout>
      <c:doughnutChart>
        <c:varyColors val="1"/>
        <c:ser>
          <c:idx val="0"/>
          <c:order val="0"/>
          <c:tx>
            <c:strRef>
              <c:f>'Team wise 100s &amp; 50s'!$B$22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C6-46D1-902C-A28F34F6E1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C6-46D1-902C-A28F34F6E1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C6-46D1-902C-A28F34F6E14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C6-46D1-902C-A28F34F6E14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EC6-46D1-902C-A28F34F6E14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EC6-46D1-902C-A28F34F6E14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EC6-46D1-902C-A28F34F6E14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EC6-46D1-902C-A28F34F6E14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EC6-46D1-902C-A28F34F6E14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EC6-46D1-902C-A28F34F6E1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'Team wise 100s &amp; 50s'!$A$23:$A$33</c:f>
              <c:strCache>
                <c:ptCount val="10"/>
                <c:pt idx="0">
                  <c:v>CSK</c:v>
                </c:pt>
                <c:pt idx="1">
                  <c:v>DC</c:v>
                </c:pt>
                <c:pt idx="2">
                  <c:v>GT</c:v>
                </c:pt>
                <c:pt idx="3">
                  <c:v>KKR</c:v>
                </c:pt>
                <c:pt idx="4">
                  <c:v>LSG</c:v>
                </c:pt>
                <c:pt idx="5">
                  <c:v>MI</c:v>
                </c:pt>
                <c:pt idx="6">
                  <c:v>PBKS</c:v>
                </c:pt>
                <c:pt idx="7">
                  <c:v>RCB</c:v>
                </c:pt>
                <c:pt idx="8">
                  <c:v>RR</c:v>
                </c:pt>
                <c:pt idx="9">
                  <c:v>SRH</c:v>
                </c:pt>
              </c:strCache>
            </c:strRef>
          </c:cat>
          <c:val>
            <c:numRef>
              <c:f>'Team wise 100s &amp; 50s'!$B$23:$B$33</c:f>
              <c:numCache>
                <c:formatCode>General</c:formatCode>
                <c:ptCount val="10"/>
                <c:pt idx="0">
                  <c:v>13</c:v>
                </c:pt>
                <c:pt idx="1">
                  <c:v>9</c:v>
                </c:pt>
                <c:pt idx="2">
                  <c:v>18</c:v>
                </c:pt>
                <c:pt idx="3">
                  <c:v>7</c:v>
                </c:pt>
                <c:pt idx="4">
                  <c:v>19</c:v>
                </c:pt>
                <c:pt idx="5">
                  <c:v>15</c:v>
                </c:pt>
                <c:pt idx="6">
                  <c:v>18</c:v>
                </c:pt>
                <c:pt idx="7">
                  <c:v>22</c:v>
                </c:pt>
                <c:pt idx="8">
                  <c:v>14</c:v>
                </c:pt>
                <c:pt idx="9">
                  <c:v>8</c:v>
                </c:pt>
              </c:numCache>
            </c:numRef>
          </c:val>
          <c:extLst>
            <c:ext xmlns:c16="http://schemas.microsoft.com/office/drawing/2014/chart" uri="{C3380CC4-5D6E-409C-BE32-E72D297353CC}">
              <c16:uniqueId val="{00000014-CEC6-46D1-902C-A28F34F6E14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[IPL2025 Dashboard 2.xlsx]Strike Rate vs Player!PivotTable3</c:name>
    <c:fmtId val="1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Strike Rate vs Player</a:t>
            </a:r>
          </a:p>
        </c:rich>
      </c:tx>
      <c:layout>
        <c:manualLayout>
          <c:xMode val="edge"/>
          <c:yMode val="edge"/>
          <c:x val="0.36485223154952368"/>
          <c:y val="4.94396090937239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'Strike Rate vs Player'!$B$3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'Strike Rate vs Player'!$A$4:$A$14</c:f>
              <c:strCache>
                <c:ptCount val="10"/>
                <c:pt idx="0">
                  <c:v>Akash Deep</c:v>
                </c:pt>
                <c:pt idx="1">
                  <c:v>Jamie Overton</c:v>
                </c:pt>
                <c:pt idx="2">
                  <c:v>Kusal Mendis</c:v>
                </c:pt>
                <c:pt idx="3">
                  <c:v>Kwena Maphaka</c:v>
                </c:pt>
                <c:pt idx="4">
                  <c:v>Lockie Ferguson</c:v>
                </c:pt>
                <c:pt idx="5">
                  <c:v>Nicholas Pooran</c:v>
                </c:pt>
                <c:pt idx="6">
                  <c:v>Raj Angad Bawa</c:v>
                </c:pt>
                <c:pt idx="7">
                  <c:v>Romario Shepherd</c:v>
                </c:pt>
                <c:pt idx="8">
                  <c:v>Urvil Patel</c:v>
                </c:pt>
                <c:pt idx="9">
                  <c:v>Vaibhav Suryavanshi</c:v>
                </c:pt>
              </c:strCache>
            </c:strRef>
          </c:cat>
          <c:val>
            <c:numRef>
              <c:f>'Strike Rate vs Player'!$B$4:$B$14</c:f>
              <c:numCache>
                <c:formatCode>General</c:formatCode>
                <c:ptCount val="10"/>
                <c:pt idx="0">
                  <c:v>300</c:v>
                </c:pt>
                <c:pt idx="1">
                  <c:v>214.28</c:v>
                </c:pt>
                <c:pt idx="2">
                  <c:v>200</c:v>
                </c:pt>
                <c:pt idx="3">
                  <c:v>400</c:v>
                </c:pt>
                <c:pt idx="4">
                  <c:v>400</c:v>
                </c:pt>
                <c:pt idx="5">
                  <c:v>196.25</c:v>
                </c:pt>
                <c:pt idx="6">
                  <c:v>200</c:v>
                </c:pt>
                <c:pt idx="7">
                  <c:v>291.66000000000003</c:v>
                </c:pt>
                <c:pt idx="8">
                  <c:v>212.5</c:v>
                </c:pt>
                <c:pt idx="9">
                  <c:v>206.55</c:v>
                </c:pt>
              </c:numCache>
            </c:numRef>
          </c:val>
          <c:smooth val="0"/>
          <c:extLst>
            <c:ext xmlns:c16="http://schemas.microsoft.com/office/drawing/2014/chart" uri="{C3380CC4-5D6E-409C-BE32-E72D297353CC}">
              <c16:uniqueId val="{00000000-050A-4324-82EA-581E1A6DEDBA}"/>
            </c:ext>
          </c:extLst>
        </c:ser>
        <c:dLbls>
          <c:dLblPos val="ctr"/>
          <c:showLegendKey val="0"/>
          <c:showVal val="1"/>
          <c:showCatName val="0"/>
          <c:showSerName val="0"/>
          <c:showPercent val="0"/>
          <c:showBubbleSize val="0"/>
        </c:dLbls>
        <c:marker val="1"/>
        <c:smooth val="0"/>
        <c:axId val="2045826303"/>
        <c:axId val="2045819583"/>
      </c:lineChart>
      <c:catAx>
        <c:axId val="204582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045819583"/>
        <c:crosses val="autoZero"/>
        <c:auto val="1"/>
        <c:lblAlgn val="ctr"/>
        <c:lblOffset val="100"/>
        <c:noMultiLvlLbl val="0"/>
      </c:catAx>
      <c:valAx>
        <c:axId val="2045819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4582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xdr:colOff>
      <xdr:row>3</xdr:row>
      <xdr:rowOff>15240</xdr:rowOff>
    </xdr:from>
    <xdr:to>
      <xdr:col>11</xdr:col>
      <xdr:colOff>312420</xdr:colOff>
      <xdr:row>20</xdr:row>
      <xdr:rowOff>129540</xdr:rowOff>
    </xdr:to>
    <xdr:graphicFrame macro="">
      <xdr:nvGraphicFramePr>
        <xdr:cNvPr id="3" name="Chart 2">
          <a:extLst>
            <a:ext uri="{FF2B5EF4-FFF2-40B4-BE49-F238E27FC236}">
              <a16:creationId xmlns:a16="http://schemas.microsoft.com/office/drawing/2014/main" id="{53E43A27-9CEF-546F-6116-29284B0F9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5</xdr:row>
      <xdr:rowOff>15240</xdr:rowOff>
    </xdr:from>
    <xdr:to>
      <xdr:col>11</xdr:col>
      <xdr:colOff>320040</xdr:colOff>
      <xdr:row>20</xdr:row>
      <xdr:rowOff>15240</xdr:rowOff>
    </xdr:to>
    <xdr:graphicFrame macro="">
      <xdr:nvGraphicFramePr>
        <xdr:cNvPr id="2" name="Chart 1">
          <a:extLst>
            <a:ext uri="{FF2B5EF4-FFF2-40B4-BE49-F238E27FC236}">
              <a16:creationId xmlns:a16="http://schemas.microsoft.com/office/drawing/2014/main" id="{062BAB16-6051-9CF1-6F19-F74396B0B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580571</xdr:colOff>
      <xdr:row>5</xdr:row>
      <xdr:rowOff>16328</xdr:rowOff>
    </xdr:from>
    <xdr:to>
      <xdr:col>16</xdr:col>
      <xdr:colOff>580571</xdr:colOff>
      <xdr:row>24</xdr:row>
      <xdr:rowOff>108857</xdr:rowOff>
    </xdr:to>
    <xdr:graphicFrame macro="">
      <xdr:nvGraphicFramePr>
        <xdr:cNvPr id="2" name="Chart 1">
          <a:extLst>
            <a:ext uri="{FF2B5EF4-FFF2-40B4-BE49-F238E27FC236}">
              <a16:creationId xmlns:a16="http://schemas.microsoft.com/office/drawing/2014/main" id="{2B10DE2B-CB5C-304C-86D3-AC294CD70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xdr:colOff>
      <xdr:row>3</xdr:row>
      <xdr:rowOff>175260</xdr:rowOff>
    </xdr:from>
    <xdr:to>
      <xdr:col>13</xdr:col>
      <xdr:colOff>7620</xdr:colOff>
      <xdr:row>20</xdr:row>
      <xdr:rowOff>175260</xdr:rowOff>
    </xdr:to>
    <xdr:graphicFrame macro="">
      <xdr:nvGraphicFramePr>
        <xdr:cNvPr id="3" name="Chart 2">
          <a:extLst>
            <a:ext uri="{FF2B5EF4-FFF2-40B4-BE49-F238E27FC236}">
              <a16:creationId xmlns:a16="http://schemas.microsoft.com/office/drawing/2014/main" id="{C1AD6E5A-4252-59AC-8446-7EC99E207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1</xdr:row>
      <xdr:rowOff>114300</xdr:rowOff>
    </xdr:from>
    <xdr:to>
      <xdr:col>11</xdr:col>
      <xdr:colOff>571500</xdr:colOff>
      <xdr:row>18</xdr:row>
      <xdr:rowOff>99060</xdr:rowOff>
    </xdr:to>
    <xdr:graphicFrame macro="">
      <xdr:nvGraphicFramePr>
        <xdr:cNvPr id="2" name="Chart 1">
          <a:extLst>
            <a:ext uri="{FF2B5EF4-FFF2-40B4-BE49-F238E27FC236}">
              <a16:creationId xmlns:a16="http://schemas.microsoft.com/office/drawing/2014/main" id="{CDF0E4FC-FE01-4A1C-E1A6-6584F2AF4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19</xdr:row>
      <xdr:rowOff>114300</xdr:rowOff>
    </xdr:from>
    <xdr:to>
      <xdr:col>11</xdr:col>
      <xdr:colOff>579120</xdr:colOff>
      <xdr:row>34</xdr:row>
      <xdr:rowOff>114300</xdr:rowOff>
    </xdr:to>
    <xdr:graphicFrame macro="">
      <xdr:nvGraphicFramePr>
        <xdr:cNvPr id="3" name="Chart 2">
          <a:extLst>
            <a:ext uri="{FF2B5EF4-FFF2-40B4-BE49-F238E27FC236}">
              <a16:creationId xmlns:a16="http://schemas.microsoft.com/office/drawing/2014/main" id="{3AD79096-F753-5821-032B-8422DBC8B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579120</xdr:colOff>
      <xdr:row>1</xdr:row>
      <xdr:rowOff>137160</xdr:rowOff>
    </xdr:from>
    <xdr:to>
      <xdr:col>17</xdr:col>
      <xdr:colOff>579120</xdr:colOff>
      <xdr:row>18</xdr:row>
      <xdr:rowOff>76200</xdr:rowOff>
    </xdr:to>
    <mc:AlternateContent xmlns:mc="http://schemas.openxmlformats.org/markup-compatibility/2006" xmlns:a14="http://schemas.microsoft.com/office/drawing/2010/main">
      <mc:Choice Requires="a14">
        <xdr:graphicFrame macro="">
          <xdr:nvGraphicFramePr>
            <xdr:cNvPr id="2" name="Player Name">
              <a:extLst>
                <a:ext uri="{FF2B5EF4-FFF2-40B4-BE49-F238E27FC236}">
                  <a16:creationId xmlns:a16="http://schemas.microsoft.com/office/drawing/2014/main" id="{4A13146B-7E2E-3158-8065-11EEF832C455}"/>
                </a:ext>
              </a:extLst>
            </xdr:cNvPr>
            <xdr:cNvGraphicFramePr/>
          </xdr:nvGraphicFramePr>
          <xdr:xfrm>
            <a:off x="0" y="0"/>
            <a:ext cx="0" cy="0"/>
          </xdr:xfrm>
          <a:graphic>
            <a:graphicData uri="http://schemas.microsoft.com/office/drawing/2010/slicer">
              <sle:slicer xmlns:sle="http://schemas.microsoft.com/office/drawing/2010/slicer" name="Player Name"/>
            </a:graphicData>
          </a:graphic>
        </xdr:graphicFrame>
      </mc:Choice>
      <mc:Fallback xmlns="">
        <xdr:sp macro="" textlink="">
          <xdr:nvSpPr>
            <xdr:cNvPr id="0" name=""/>
            <xdr:cNvSpPr>
              <a:spLocks noTextEdit="1"/>
            </xdr:cNvSpPr>
          </xdr:nvSpPr>
          <xdr:spPr>
            <a:xfrm>
              <a:off x="10119360" y="320040"/>
              <a:ext cx="182880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220980</xdr:colOff>
      <xdr:row>1</xdr:row>
      <xdr:rowOff>121920</xdr:rowOff>
    </xdr:from>
    <xdr:to>
      <xdr:col>21</xdr:col>
      <xdr:colOff>220980</xdr:colOff>
      <xdr:row>18</xdr:row>
      <xdr:rowOff>60960</xdr:rowOff>
    </xdr:to>
    <mc:AlternateContent xmlns:mc="http://schemas.openxmlformats.org/markup-compatibility/2006" xmlns:a14="http://schemas.microsoft.com/office/drawing/2010/main">
      <mc:Choice Requires="a14">
        <xdr:graphicFrame macro="">
          <xdr:nvGraphicFramePr>
            <xdr:cNvPr id="3" name="Team">
              <a:extLst>
                <a:ext uri="{FF2B5EF4-FFF2-40B4-BE49-F238E27FC236}">
                  <a16:creationId xmlns:a16="http://schemas.microsoft.com/office/drawing/2014/main" id="{EA4A493C-A313-AD30-E16B-285B68270A69}"/>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2199620" y="304800"/>
              <a:ext cx="182880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170527</xdr:colOff>
      <xdr:row>5</xdr:row>
      <xdr:rowOff>100603</xdr:rowOff>
    </xdr:from>
    <xdr:to>
      <xdr:col>3</xdr:col>
      <xdr:colOff>170527</xdr:colOff>
      <xdr:row>46</xdr:row>
      <xdr:rowOff>133048</xdr:rowOff>
    </xdr:to>
    <mc:AlternateContent xmlns:mc="http://schemas.openxmlformats.org/markup-compatibility/2006" xmlns:a14="http://schemas.microsoft.com/office/drawing/2010/main">
      <mc:Choice Requires="a14">
        <xdr:graphicFrame macro="">
          <xdr:nvGraphicFramePr>
            <xdr:cNvPr id="2" name="Player Name 1">
              <a:extLst>
                <a:ext uri="{FF2B5EF4-FFF2-40B4-BE49-F238E27FC236}">
                  <a16:creationId xmlns:a16="http://schemas.microsoft.com/office/drawing/2014/main" id="{3362FDFD-D8BE-42F3-AF2C-2B40EFE9BB85}"/>
                </a:ext>
              </a:extLst>
            </xdr:cNvPr>
            <xdr:cNvGraphicFramePr/>
          </xdr:nvGraphicFramePr>
          <xdr:xfrm>
            <a:off x="0" y="0"/>
            <a:ext cx="0" cy="0"/>
          </xdr:xfrm>
          <a:graphic>
            <a:graphicData uri="http://schemas.microsoft.com/office/drawing/2010/slicer">
              <sle:slicer xmlns:sle="http://schemas.microsoft.com/office/drawing/2010/slicer" name="Player Name 1"/>
            </a:graphicData>
          </a:graphic>
        </xdr:graphicFrame>
      </mc:Choice>
      <mc:Fallback xmlns="">
        <xdr:sp macro="" textlink="">
          <xdr:nvSpPr>
            <xdr:cNvPr id="0" name=""/>
            <xdr:cNvSpPr>
              <a:spLocks noTextEdit="1"/>
            </xdr:cNvSpPr>
          </xdr:nvSpPr>
          <xdr:spPr>
            <a:xfrm>
              <a:off x="170527" y="1007746"/>
              <a:ext cx="1814286" cy="7144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447524</xdr:colOff>
      <xdr:row>5</xdr:row>
      <xdr:rowOff>104598</xdr:rowOff>
    </xdr:from>
    <xdr:to>
      <xdr:col>38</xdr:col>
      <xdr:colOff>7165</xdr:colOff>
      <xdr:row>28</xdr:row>
      <xdr:rowOff>108857</xdr:rowOff>
    </xdr:to>
    <mc:AlternateContent xmlns:mc="http://schemas.openxmlformats.org/markup-compatibility/2006" xmlns:a14="http://schemas.microsoft.com/office/drawing/2010/main">
      <mc:Choice Requires="a14">
        <xdr:graphicFrame macro="">
          <xdr:nvGraphicFramePr>
            <xdr:cNvPr id="3" name="TEAMS">
              <a:extLst>
                <a:ext uri="{FF2B5EF4-FFF2-40B4-BE49-F238E27FC236}">
                  <a16:creationId xmlns:a16="http://schemas.microsoft.com/office/drawing/2014/main" id="{8882B7EE-1989-4144-88A2-D0F159D29B20}"/>
                </a:ext>
              </a:extLst>
            </xdr:cNvPr>
            <xdr:cNvGraphicFramePr/>
          </xdr:nvGraphicFramePr>
          <xdr:xfrm>
            <a:off x="0" y="0"/>
            <a:ext cx="0" cy="0"/>
          </xdr:xfrm>
          <a:graphic>
            <a:graphicData uri="http://schemas.microsoft.com/office/drawing/2010/slicer">
              <sle:slicer xmlns:sle="http://schemas.microsoft.com/office/drawing/2010/slicer" name="TEAMS"/>
            </a:graphicData>
          </a:graphic>
        </xdr:graphicFrame>
      </mc:Choice>
      <mc:Fallback xmlns="">
        <xdr:sp macro="" textlink="">
          <xdr:nvSpPr>
            <xdr:cNvPr id="0" name=""/>
            <xdr:cNvSpPr>
              <a:spLocks noTextEdit="1"/>
            </xdr:cNvSpPr>
          </xdr:nvSpPr>
          <xdr:spPr>
            <a:xfrm>
              <a:off x="20404667" y="1011741"/>
              <a:ext cx="2583450" cy="4177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273995</xdr:colOff>
      <xdr:row>12</xdr:row>
      <xdr:rowOff>48504</xdr:rowOff>
    </xdr:from>
    <xdr:to>
      <xdr:col>13</xdr:col>
      <xdr:colOff>399143</xdr:colOff>
      <xdr:row>27</xdr:row>
      <xdr:rowOff>79340</xdr:rowOff>
    </xdr:to>
    <xdr:graphicFrame macro="">
      <xdr:nvGraphicFramePr>
        <xdr:cNvPr id="4" name="Chart 3">
          <a:extLst>
            <a:ext uri="{FF2B5EF4-FFF2-40B4-BE49-F238E27FC236}">
              <a16:creationId xmlns:a16="http://schemas.microsoft.com/office/drawing/2014/main" id="{85FAAFB0-AF5E-4B31-B5F6-CDD4D584A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560852</xdr:colOff>
      <xdr:row>12</xdr:row>
      <xdr:rowOff>51827</xdr:rowOff>
    </xdr:from>
    <xdr:to>
      <xdr:col>24</xdr:col>
      <xdr:colOff>12095</xdr:colOff>
      <xdr:row>27</xdr:row>
      <xdr:rowOff>83134</xdr:rowOff>
    </xdr:to>
    <xdr:graphicFrame macro="">
      <xdr:nvGraphicFramePr>
        <xdr:cNvPr id="5" name="Chart 4">
          <a:extLst>
            <a:ext uri="{FF2B5EF4-FFF2-40B4-BE49-F238E27FC236}">
              <a16:creationId xmlns:a16="http://schemas.microsoft.com/office/drawing/2014/main" id="{42B80CFE-C267-4497-8720-814628F76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226744</xdr:colOff>
      <xdr:row>12</xdr:row>
      <xdr:rowOff>30253</xdr:rowOff>
    </xdr:from>
    <xdr:to>
      <xdr:col>33</xdr:col>
      <xdr:colOff>314476</xdr:colOff>
      <xdr:row>27</xdr:row>
      <xdr:rowOff>83135</xdr:rowOff>
    </xdr:to>
    <xdr:graphicFrame macro="">
      <xdr:nvGraphicFramePr>
        <xdr:cNvPr id="6" name="Chart 5">
          <a:extLst>
            <a:ext uri="{FF2B5EF4-FFF2-40B4-BE49-F238E27FC236}">
              <a16:creationId xmlns:a16="http://schemas.microsoft.com/office/drawing/2014/main" id="{9F76805C-5DAC-424D-AABC-6698FAF04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466575</xdr:colOff>
      <xdr:row>28</xdr:row>
      <xdr:rowOff>56651</xdr:rowOff>
    </xdr:from>
    <xdr:to>
      <xdr:col>25</xdr:col>
      <xdr:colOff>254000</xdr:colOff>
      <xdr:row>47</xdr:row>
      <xdr:rowOff>8556</xdr:rowOff>
    </xdr:to>
    <xdr:graphicFrame macro="">
      <xdr:nvGraphicFramePr>
        <xdr:cNvPr id="7" name="Chart 6">
          <a:extLst>
            <a:ext uri="{FF2B5EF4-FFF2-40B4-BE49-F238E27FC236}">
              <a16:creationId xmlns:a16="http://schemas.microsoft.com/office/drawing/2014/main" id="{F11EE380-2F1E-4CD3-B8FA-6115A841D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416006</xdr:colOff>
      <xdr:row>28</xdr:row>
      <xdr:rowOff>96155</xdr:rowOff>
    </xdr:from>
    <xdr:to>
      <xdr:col>36</xdr:col>
      <xdr:colOff>290285</xdr:colOff>
      <xdr:row>47</xdr:row>
      <xdr:rowOff>49807</xdr:rowOff>
    </xdr:to>
    <xdr:graphicFrame macro="">
      <xdr:nvGraphicFramePr>
        <xdr:cNvPr id="8" name="Chart 7">
          <a:extLst>
            <a:ext uri="{FF2B5EF4-FFF2-40B4-BE49-F238E27FC236}">
              <a16:creationId xmlns:a16="http://schemas.microsoft.com/office/drawing/2014/main" id="{EB4DACCB-40F8-45E4-B1AC-13DA3345A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224820</xdr:colOff>
      <xdr:row>27</xdr:row>
      <xdr:rowOff>168617</xdr:rowOff>
    </xdr:from>
    <xdr:to>
      <xdr:col>15</xdr:col>
      <xdr:colOff>290285</xdr:colOff>
      <xdr:row>46</xdr:row>
      <xdr:rowOff>165351</xdr:rowOff>
    </xdr:to>
    <xdr:graphicFrame macro="">
      <xdr:nvGraphicFramePr>
        <xdr:cNvPr id="9" name="Chart 8">
          <a:extLst>
            <a:ext uri="{FF2B5EF4-FFF2-40B4-BE49-F238E27FC236}">
              <a16:creationId xmlns:a16="http://schemas.microsoft.com/office/drawing/2014/main" id="{679212E4-9860-4744-8100-5AC9E448B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10027</xdr:colOff>
      <xdr:row>0</xdr:row>
      <xdr:rowOff>50132</xdr:rowOff>
    </xdr:from>
    <xdr:to>
      <xdr:col>39</xdr:col>
      <xdr:colOff>278191</xdr:colOff>
      <xdr:row>5</xdr:row>
      <xdr:rowOff>10732</xdr:rowOff>
    </xdr:to>
    <xdr:sp macro="" textlink="">
      <xdr:nvSpPr>
        <xdr:cNvPr id="12" name="Rectangle: Rounded Corners 11">
          <a:extLst>
            <a:ext uri="{FF2B5EF4-FFF2-40B4-BE49-F238E27FC236}">
              <a16:creationId xmlns:a16="http://schemas.microsoft.com/office/drawing/2014/main" id="{209B080D-4B13-5603-01B3-60AB9DC2C63E}"/>
            </a:ext>
          </a:extLst>
        </xdr:cNvPr>
        <xdr:cNvSpPr/>
      </xdr:nvSpPr>
      <xdr:spPr>
        <a:xfrm>
          <a:off x="10027" y="50132"/>
          <a:ext cx="23853878" cy="867743"/>
        </a:xfrm>
        <a:prstGeom prst="roundRect">
          <a:avLst/>
        </a:prstGeom>
        <a:solidFill>
          <a:schemeClr val="accent4">
            <a:lumMod val="60000"/>
            <a:lumOff val="40000"/>
            <a:alpha val="57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447524</xdr:colOff>
      <xdr:row>0</xdr:row>
      <xdr:rowOff>21466</xdr:rowOff>
    </xdr:from>
    <xdr:to>
      <xdr:col>24</xdr:col>
      <xdr:colOff>556381</xdr:colOff>
      <xdr:row>5</xdr:row>
      <xdr:rowOff>0</xdr:rowOff>
    </xdr:to>
    <xdr:sp macro="" textlink="">
      <xdr:nvSpPr>
        <xdr:cNvPr id="13" name="TextBox 12">
          <a:extLst>
            <a:ext uri="{FF2B5EF4-FFF2-40B4-BE49-F238E27FC236}">
              <a16:creationId xmlns:a16="http://schemas.microsoft.com/office/drawing/2014/main" id="{DCEE8766-6903-069F-A784-0BE9DE95D59F}"/>
            </a:ext>
          </a:extLst>
        </xdr:cNvPr>
        <xdr:cNvSpPr txBox="1"/>
      </xdr:nvSpPr>
      <xdr:spPr>
        <a:xfrm>
          <a:off x="7704667" y="21466"/>
          <a:ext cx="7366000" cy="885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tx1"/>
              </a:solidFill>
              <a:latin typeface="Times New Roman" panose="02020603050405020304" pitchFamily="18" charset="0"/>
              <a:cs typeface="Times New Roman" panose="02020603050405020304" pitchFamily="18" charset="0"/>
            </a:rPr>
            <a:t>IPL</a:t>
          </a:r>
          <a:r>
            <a:rPr lang="en-IN" sz="4400" b="1" baseline="0">
              <a:solidFill>
                <a:schemeClr val="tx1"/>
              </a:solidFill>
              <a:latin typeface="Times New Roman" panose="02020603050405020304" pitchFamily="18" charset="0"/>
              <a:cs typeface="Times New Roman" panose="02020603050405020304" pitchFamily="18" charset="0"/>
            </a:rPr>
            <a:t> ANALYSIS (2025)</a:t>
          </a:r>
          <a:endParaRPr lang="en-IN" sz="4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18570</xdr:colOff>
      <xdr:row>0</xdr:row>
      <xdr:rowOff>19933</xdr:rowOff>
    </xdr:from>
    <xdr:to>
      <xdr:col>5</xdr:col>
      <xdr:colOff>18739</xdr:colOff>
      <xdr:row>5</xdr:row>
      <xdr:rowOff>12094</xdr:rowOff>
    </xdr:to>
    <xdr:pic>
      <xdr:nvPicPr>
        <xdr:cNvPr id="15" name="Picture 14">
          <a:extLst>
            <a:ext uri="{FF2B5EF4-FFF2-40B4-BE49-F238E27FC236}">
              <a16:creationId xmlns:a16="http://schemas.microsoft.com/office/drawing/2014/main" id="{C1D668F0-70EC-4F21-DE93-0081A83B6D6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570" y="19933"/>
          <a:ext cx="3023979" cy="899304"/>
        </a:xfrm>
        <a:prstGeom prst="rect">
          <a:avLst/>
        </a:prstGeom>
      </xdr:spPr>
    </xdr:pic>
    <xdr:clientData/>
  </xdr:twoCellAnchor>
  <xdr:twoCellAnchor editAs="oneCell">
    <xdr:from>
      <xdr:col>33</xdr:col>
      <xdr:colOff>365924</xdr:colOff>
      <xdr:row>0</xdr:row>
      <xdr:rowOff>44293</xdr:rowOff>
    </xdr:from>
    <xdr:to>
      <xdr:col>37</xdr:col>
      <xdr:colOff>530659</xdr:colOff>
      <xdr:row>5</xdr:row>
      <xdr:rowOff>12095</xdr:rowOff>
    </xdr:to>
    <xdr:pic>
      <xdr:nvPicPr>
        <xdr:cNvPr id="17" name="Picture 16">
          <a:extLst>
            <a:ext uri="{FF2B5EF4-FFF2-40B4-BE49-F238E27FC236}">
              <a16:creationId xmlns:a16="http://schemas.microsoft.com/office/drawing/2014/main" id="{E3F07AAE-4308-9A41-36C4-9A6365B808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323067" y="44293"/>
          <a:ext cx="2583782" cy="874945"/>
        </a:xfrm>
        <a:prstGeom prst="rect">
          <a:avLst/>
        </a:prstGeom>
      </xdr:spPr>
    </xdr:pic>
    <xdr:clientData/>
  </xdr:twoCellAnchor>
  <xdr:twoCellAnchor>
    <xdr:from>
      <xdr:col>6</xdr:col>
      <xdr:colOff>266096</xdr:colOff>
      <xdr:row>5</xdr:row>
      <xdr:rowOff>60476</xdr:rowOff>
    </xdr:from>
    <xdr:to>
      <xdr:col>31</xdr:col>
      <xdr:colOff>84667</xdr:colOff>
      <xdr:row>11</xdr:row>
      <xdr:rowOff>145144</xdr:rowOff>
    </xdr:to>
    <xdr:grpSp>
      <xdr:nvGrpSpPr>
        <xdr:cNvPr id="32" name="Group 31">
          <a:extLst>
            <a:ext uri="{FF2B5EF4-FFF2-40B4-BE49-F238E27FC236}">
              <a16:creationId xmlns:a16="http://schemas.microsoft.com/office/drawing/2014/main" id="{A3D3268B-23ED-0D91-1CE3-EFEC018AFE36}"/>
            </a:ext>
          </a:extLst>
        </xdr:cNvPr>
        <xdr:cNvGrpSpPr/>
      </xdr:nvGrpSpPr>
      <xdr:grpSpPr>
        <a:xfrm>
          <a:off x="3894667" y="967619"/>
          <a:ext cx="14937619" cy="1173239"/>
          <a:chOff x="3967239" y="967619"/>
          <a:chExt cx="14937619" cy="1173239"/>
        </a:xfrm>
        <a:solidFill>
          <a:schemeClr val="accent5">
            <a:lumMod val="40000"/>
            <a:lumOff val="60000"/>
          </a:schemeClr>
        </a:solidFill>
      </xdr:grpSpPr>
      <xdr:grpSp>
        <xdr:nvGrpSpPr>
          <xdr:cNvPr id="30" name="Group 29">
            <a:extLst>
              <a:ext uri="{FF2B5EF4-FFF2-40B4-BE49-F238E27FC236}">
                <a16:creationId xmlns:a16="http://schemas.microsoft.com/office/drawing/2014/main" id="{D321AFA5-A5BF-89E0-99FC-E696FEEDD546}"/>
              </a:ext>
            </a:extLst>
          </xdr:cNvPr>
          <xdr:cNvGrpSpPr/>
        </xdr:nvGrpSpPr>
        <xdr:grpSpPr>
          <a:xfrm>
            <a:off x="3967239" y="979714"/>
            <a:ext cx="2370666" cy="1149048"/>
            <a:chOff x="3338286" y="991809"/>
            <a:chExt cx="2370666" cy="1149048"/>
          </a:xfrm>
          <a:grpFill/>
        </xdr:grpSpPr>
        <xdr:sp macro="" textlink="">
          <xdr:nvSpPr>
            <xdr:cNvPr id="10" name="Rectangle: Rounded Corners 9">
              <a:extLst>
                <a:ext uri="{FF2B5EF4-FFF2-40B4-BE49-F238E27FC236}">
                  <a16:creationId xmlns:a16="http://schemas.microsoft.com/office/drawing/2014/main" id="{7385E99E-FD84-60EC-EA8B-1BA38D23FA19}"/>
                </a:ext>
              </a:extLst>
            </xdr:cNvPr>
            <xdr:cNvSpPr/>
          </xdr:nvSpPr>
          <xdr:spPr>
            <a:xfrm>
              <a:off x="3338286" y="991809"/>
              <a:ext cx="2370666" cy="114904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622106D9-00E0-3E6C-4DA0-196191D587F5}"/>
                </a:ext>
              </a:extLst>
            </xdr:cNvPr>
            <xdr:cNvSpPr txBox="1"/>
          </xdr:nvSpPr>
          <xdr:spPr>
            <a:xfrm>
              <a:off x="3495524" y="1088571"/>
              <a:ext cx="1971524" cy="43542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1"/>
                  </a:solidFill>
                </a:rPr>
                <a:t>Total Runs</a:t>
              </a:r>
            </a:p>
          </xdr:txBody>
        </xdr:sp>
        <xdr:sp macro="" textlink="Slicer1!A6">
          <xdr:nvSpPr>
            <xdr:cNvPr id="14" name="TextBox 13">
              <a:extLst>
                <a:ext uri="{FF2B5EF4-FFF2-40B4-BE49-F238E27FC236}">
                  <a16:creationId xmlns:a16="http://schemas.microsoft.com/office/drawing/2014/main" id="{5C281400-B486-BA20-74A1-E92225D5880C}"/>
                </a:ext>
              </a:extLst>
            </xdr:cNvPr>
            <xdr:cNvSpPr txBox="1"/>
          </xdr:nvSpPr>
          <xdr:spPr>
            <a:xfrm>
              <a:off x="3664857" y="1608666"/>
              <a:ext cx="1657048" cy="326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D99CD8-E252-4E98-A341-424FE6B7513C}" type="TxLink">
                <a:rPr lang="en-US" sz="2800" b="1" i="0" u="none" strike="noStrike">
                  <a:solidFill>
                    <a:srgbClr val="000000"/>
                  </a:solidFill>
                  <a:latin typeface="Arial Black" panose="020B0A04020102020204" pitchFamily="34" charset="0"/>
                  <a:ea typeface="Calibri"/>
                  <a:cs typeface="Calibri"/>
                </a:rPr>
                <a:pPr algn="ctr"/>
                <a:t>25166</a:t>
              </a:fld>
              <a:endParaRPr lang="en-IN" sz="2800" b="1">
                <a:latin typeface="Arial Black" panose="020B0A04020102020204" pitchFamily="34" charset="0"/>
              </a:endParaRPr>
            </a:p>
          </xdr:txBody>
        </xdr:sp>
      </xdr:grpSp>
      <xdr:grpSp>
        <xdr:nvGrpSpPr>
          <xdr:cNvPr id="31" name="Group 30">
            <a:extLst>
              <a:ext uri="{FF2B5EF4-FFF2-40B4-BE49-F238E27FC236}">
                <a16:creationId xmlns:a16="http://schemas.microsoft.com/office/drawing/2014/main" id="{C7D62B81-DA40-28FE-33FB-80E06A98C67C}"/>
              </a:ext>
            </a:extLst>
          </xdr:cNvPr>
          <xdr:cNvGrpSpPr/>
        </xdr:nvGrpSpPr>
        <xdr:grpSpPr>
          <a:xfrm>
            <a:off x="7982856" y="979714"/>
            <a:ext cx="2370666" cy="1149048"/>
            <a:chOff x="7789333" y="1016000"/>
            <a:chExt cx="2370666" cy="1149048"/>
          </a:xfrm>
          <a:grpFill/>
        </xdr:grpSpPr>
        <xdr:sp macro="" textlink="">
          <xdr:nvSpPr>
            <xdr:cNvPr id="16" name="Rectangle: Rounded Corners 15">
              <a:extLst>
                <a:ext uri="{FF2B5EF4-FFF2-40B4-BE49-F238E27FC236}">
                  <a16:creationId xmlns:a16="http://schemas.microsoft.com/office/drawing/2014/main" id="{6B72FD22-1695-4F55-94C9-4F7617F1F269}"/>
                </a:ext>
              </a:extLst>
            </xdr:cNvPr>
            <xdr:cNvSpPr/>
          </xdr:nvSpPr>
          <xdr:spPr>
            <a:xfrm>
              <a:off x="7789333" y="1016000"/>
              <a:ext cx="2370666" cy="114904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C5DB774E-FA2A-1104-0921-7CFD966F6A85}"/>
                </a:ext>
              </a:extLst>
            </xdr:cNvPr>
            <xdr:cNvSpPr txBox="1"/>
          </xdr:nvSpPr>
          <xdr:spPr>
            <a:xfrm>
              <a:off x="7849809" y="1100665"/>
              <a:ext cx="2165048" cy="4959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 Matches</a:t>
              </a:r>
            </a:p>
          </xdr:txBody>
        </xdr:sp>
        <xdr:sp macro="" textlink="Slicer1!B6">
          <xdr:nvSpPr>
            <xdr:cNvPr id="21" name="TextBox 20">
              <a:extLst>
                <a:ext uri="{FF2B5EF4-FFF2-40B4-BE49-F238E27FC236}">
                  <a16:creationId xmlns:a16="http://schemas.microsoft.com/office/drawing/2014/main" id="{288A3DF5-8009-111B-947A-76BABE617605}"/>
                </a:ext>
              </a:extLst>
            </xdr:cNvPr>
            <xdr:cNvSpPr txBox="1"/>
          </xdr:nvSpPr>
          <xdr:spPr>
            <a:xfrm>
              <a:off x="7982857" y="1632856"/>
              <a:ext cx="1620762" cy="3144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97C63F-B181-42C6-9105-374994404EA9}" type="TxLink">
                <a:rPr lang="en-US" sz="2800" b="1" i="0" u="none" strike="noStrike">
                  <a:solidFill>
                    <a:srgbClr val="000000"/>
                  </a:solidFill>
                  <a:latin typeface="Arial Black" panose="020B0A04020102020204" pitchFamily="34" charset="0"/>
                  <a:ea typeface="Calibri"/>
                  <a:cs typeface="Calibri"/>
                </a:rPr>
                <a:pPr algn="ctr"/>
                <a:t>1539</a:t>
              </a:fld>
              <a:endParaRPr lang="en-IN" sz="2800" b="1">
                <a:latin typeface="Arial Black" panose="020B0A04020102020204" pitchFamily="34" charset="0"/>
              </a:endParaRPr>
            </a:p>
          </xdr:txBody>
        </xdr:sp>
      </xdr:grpSp>
      <xdr:grpSp>
        <xdr:nvGrpSpPr>
          <xdr:cNvPr id="28" name="Group 27">
            <a:extLst>
              <a:ext uri="{FF2B5EF4-FFF2-40B4-BE49-F238E27FC236}">
                <a16:creationId xmlns:a16="http://schemas.microsoft.com/office/drawing/2014/main" id="{F067DCD1-CDF3-8DD5-DD4A-B6B8961D81E8}"/>
              </a:ext>
            </a:extLst>
          </xdr:cNvPr>
          <xdr:cNvGrpSpPr/>
        </xdr:nvGrpSpPr>
        <xdr:grpSpPr>
          <a:xfrm>
            <a:off x="12373430" y="991810"/>
            <a:ext cx="2370666" cy="1149048"/>
            <a:chOff x="10329333" y="1016001"/>
            <a:chExt cx="2370666" cy="1149048"/>
          </a:xfrm>
          <a:grpFill/>
        </xdr:grpSpPr>
        <xdr:sp macro="" textlink="">
          <xdr:nvSpPr>
            <xdr:cNvPr id="18" name="Rectangle: Rounded Corners 17">
              <a:extLst>
                <a:ext uri="{FF2B5EF4-FFF2-40B4-BE49-F238E27FC236}">
                  <a16:creationId xmlns:a16="http://schemas.microsoft.com/office/drawing/2014/main" id="{1F46E330-CC43-4870-8D68-309A59FE1C45}"/>
                </a:ext>
              </a:extLst>
            </xdr:cNvPr>
            <xdr:cNvSpPr/>
          </xdr:nvSpPr>
          <xdr:spPr>
            <a:xfrm>
              <a:off x="10329333" y="1016001"/>
              <a:ext cx="2370666" cy="114904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9F73495D-2805-5FCD-DA22-822509644E99}"/>
                </a:ext>
              </a:extLst>
            </xdr:cNvPr>
            <xdr:cNvSpPr txBox="1"/>
          </xdr:nvSpPr>
          <xdr:spPr>
            <a:xfrm>
              <a:off x="10571239" y="1221619"/>
              <a:ext cx="1971524" cy="39914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Average of</a:t>
              </a:r>
              <a:r>
                <a:rPr lang="en-IN" sz="2400" b="1" baseline="0">
                  <a:solidFill>
                    <a:schemeClr val="tx1"/>
                  </a:solidFill>
                </a:rPr>
                <a:t> SR</a:t>
              </a:r>
              <a:endParaRPr lang="en-IN" sz="2400" b="1">
                <a:solidFill>
                  <a:schemeClr val="tx1"/>
                </a:solidFill>
              </a:endParaRPr>
            </a:p>
          </xdr:txBody>
        </xdr:sp>
        <xdr:sp macro="" textlink="Slicer1!C6">
          <xdr:nvSpPr>
            <xdr:cNvPr id="23" name="TextBox 22">
              <a:extLst>
                <a:ext uri="{FF2B5EF4-FFF2-40B4-BE49-F238E27FC236}">
                  <a16:creationId xmlns:a16="http://schemas.microsoft.com/office/drawing/2014/main" id="{CB2740BE-E94C-BCFC-B2C7-6F0C20D0F446}"/>
                </a:ext>
              </a:extLst>
            </xdr:cNvPr>
            <xdr:cNvSpPr txBox="1"/>
          </xdr:nvSpPr>
          <xdr:spPr>
            <a:xfrm>
              <a:off x="10740573" y="1548191"/>
              <a:ext cx="1548191" cy="5563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94E97A-8953-417D-8F3C-03A752ED0187}" type="TxLink">
                <a:rPr lang="en-US" sz="2800" b="0" i="0" u="none" strike="noStrike">
                  <a:solidFill>
                    <a:srgbClr val="000000"/>
                  </a:solidFill>
                  <a:latin typeface="Arial Black" panose="020B0A04020102020204" pitchFamily="34" charset="0"/>
                  <a:ea typeface="Calibri"/>
                  <a:cs typeface="Calibri"/>
                </a:rPr>
                <a:pPr algn="ctr"/>
                <a:t>134.4</a:t>
              </a:fld>
              <a:endParaRPr lang="en-IN" sz="2800">
                <a:latin typeface="Arial Black" panose="020B0A04020102020204" pitchFamily="34" charset="0"/>
              </a:endParaRPr>
            </a:p>
          </xdr:txBody>
        </xdr:sp>
      </xdr:grpSp>
      <xdr:grpSp>
        <xdr:nvGrpSpPr>
          <xdr:cNvPr id="26" name="Group 25">
            <a:extLst>
              <a:ext uri="{FF2B5EF4-FFF2-40B4-BE49-F238E27FC236}">
                <a16:creationId xmlns:a16="http://schemas.microsoft.com/office/drawing/2014/main" id="{AB16F29A-F17D-F305-FB5D-889DEBCB2BF3}"/>
              </a:ext>
            </a:extLst>
          </xdr:cNvPr>
          <xdr:cNvGrpSpPr/>
        </xdr:nvGrpSpPr>
        <xdr:grpSpPr>
          <a:xfrm>
            <a:off x="16534192" y="967619"/>
            <a:ext cx="2370666" cy="1149048"/>
            <a:chOff x="12990286" y="1015999"/>
            <a:chExt cx="2370666" cy="1149048"/>
          </a:xfrm>
          <a:grpFill/>
        </xdr:grpSpPr>
        <xdr:sp macro="" textlink="">
          <xdr:nvSpPr>
            <xdr:cNvPr id="19" name="Rectangle: Rounded Corners 18">
              <a:extLst>
                <a:ext uri="{FF2B5EF4-FFF2-40B4-BE49-F238E27FC236}">
                  <a16:creationId xmlns:a16="http://schemas.microsoft.com/office/drawing/2014/main" id="{F108A1E5-249D-48A4-BF10-784E0022BF02}"/>
                </a:ext>
              </a:extLst>
            </xdr:cNvPr>
            <xdr:cNvSpPr/>
          </xdr:nvSpPr>
          <xdr:spPr>
            <a:xfrm>
              <a:off x="12990286" y="1015999"/>
              <a:ext cx="2370666" cy="114904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27D697B1-4206-5B74-1EFA-6B5F5054E0C6}"/>
                </a:ext>
              </a:extLst>
            </xdr:cNvPr>
            <xdr:cNvSpPr txBox="1"/>
          </xdr:nvSpPr>
          <xdr:spPr>
            <a:xfrm>
              <a:off x="13256381" y="1209524"/>
              <a:ext cx="1729619" cy="362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Total 100s</a:t>
              </a:r>
            </a:p>
          </xdr:txBody>
        </xdr:sp>
        <xdr:sp macro="" textlink="Slicer1!D6">
          <xdr:nvSpPr>
            <xdr:cNvPr id="25" name="TextBox 24">
              <a:extLst>
                <a:ext uri="{FF2B5EF4-FFF2-40B4-BE49-F238E27FC236}">
                  <a16:creationId xmlns:a16="http://schemas.microsoft.com/office/drawing/2014/main" id="{682D592A-89BE-3536-815B-4A111E6CADA7}"/>
                </a:ext>
              </a:extLst>
            </xdr:cNvPr>
            <xdr:cNvSpPr txBox="1"/>
          </xdr:nvSpPr>
          <xdr:spPr>
            <a:xfrm>
              <a:off x="13413619" y="1536095"/>
              <a:ext cx="1366762" cy="47171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CFB88-A2CC-47D7-92A4-4E8270D53E1D}" type="TxLink">
                <a:rPr lang="en-US" sz="2800" b="0" i="0" u="none" strike="noStrike">
                  <a:solidFill>
                    <a:srgbClr val="000000"/>
                  </a:solidFill>
                  <a:latin typeface="Arial Black" panose="020B0A04020102020204" pitchFamily="34" charset="0"/>
                  <a:ea typeface="Calibri"/>
                  <a:cs typeface="Calibri"/>
                </a:rPr>
                <a:pPr algn="ctr"/>
                <a:t>9</a:t>
              </a:fld>
              <a:endParaRPr lang="en-IN" sz="2800">
                <a:latin typeface="Arial Black" panose="020B0A04020102020204" pitchFamily="34" charset="0"/>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Mahajan" refreshedDate="46133.967440624998" createdVersion="8" refreshedVersion="8" minRefreshableVersion="3" recordCount="156" xr:uid="{905F338D-7768-4B89-846A-DE00CB960C59}">
  <cacheSource type="worksheet">
    <worksheetSource name="IPL2025Batters"/>
  </cacheSource>
  <cacheFields count="14">
    <cacheField name="Player Name" numFmtId="0">
      <sharedItems count="156">
        <s v="Sai Sudharsan"/>
        <s v="Surya Kumar Yadav"/>
        <s v="Virat Kohli"/>
        <s v="Shubman Gill"/>
        <s v="Mitchell Marsh"/>
        <s v="Shreyas Iyer"/>
        <s v="Yashasvi Jaiswal"/>
        <s v="Prabhsimran Singh"/>
        <s v="K L Rahul"/>
        <s v="Jos Buttler"/>
        <s v="Nicholas Pooran"/>
        <s v="Heinrich Klaasen"/>
        <s v="Priyansh Arya"/>
        <s v="Aiden Markram"/>
        <s v="Abhishek Sharma"/>
        <s v="Rohit Sharma"/>
        <s v="Phil Salt"/>
        <s v="Riyan Parag"/>
        <s v="Ajinkya Rahane"/>
        <s v="Ryan Rickelton"/>
        <s v="Travis Head"/>
        <s v="Nehal Wadhera"/>
        <s v="Shivam Dube"/>
        <s v="Ishan Kishan"/>
        <s v="Shashank Singh"/>
        <s v="N Tilak Varma"/>
        <s v="Dhruv Jurel"/>
        <s v="Ayush Badoni"/>
        <s v="Rajat Patidar"/>
        <s v="Abishek Porel"/>
        <s v="Ravindra Jadeja"/>
        <s v="Tristan Stubbs"/>
        <s v="Angkrish Raghuvanshi"/>
        <s v="Sherfane Rutherford"/>
        <s v="Sanju Samson"/>
        <s v="Josh Inglis"/>
        <s v="Rishabh Pant"/>
        <s v="Axar Patel"/>
        <s v="Jitesh Sharma"/>
        <s v="Vaibhav Suryavanshi"/>
        <s v="Naman Dhir"/>
        <s v="Devdutt Padikkal"/>
        <s v="Sunil Narine"/>
        <s v="Ayush Mhatre"/>
        <s v="Shimron Hetmyer"/>
        <s v="Aniket Verma"/>
        <s v="Will Jacks"/>
        <s v="Dewald Brevis"/>
        <s v="Hardik Pandya"/>
        <s v="Nitish Rana"/>
        <s v="Rinku Singh"/>
        <s v="Ashutosh Sharma"/>
        <s v="Faf Du Plessis"/>
        <s v="Karun Nair"/>
        <s v="MS Dhoni"/>
        <s v="Rachin Ravindra"/>
        <s v="Tim David"/>
        <s v="Nitish Kumar Reddy"/>
        <s v="Shahrukh Khan"/>
        <s v="Andre Russell"/>
        <s v="Abdul Samad"/>
        <s v="Marcus Stoinis"/>
        <s v="Devon Conway"/>
        <s v="David Miller"/>
        <s v="Quinton De Kock"/>
        <s v="Vipraj Nigam"/>
        <s v="Venkatesh Iyer"/>
        <s v="Washington Sundar"/>
        <s v="Ruturaj Gaikwad"/>
        <s v="Sameer Rizvi"/>
        <s v="Vijay Shankar"/>
        <s v="Sam Curran"/>
        <s v="Liam Livingstone"/>
        <s v="Krunal Pandya"/>
        <s v="Shubham Dubey"/>
        <s v="Rahul Tewatia"/>
        <s v="Pat Cummins"/>
        <s v="Mayank Agarwal"/>
        <s v="Manish Pandey"/>
        <s v="Kamindu Mendis"/>
        <s v="Jonny Bairstow"/>
        <s v="Marco Jansen"/>
        <s v="Rahmanullah Gurbaz"/>
        <s v="Shaik Rasheed"/>
        <s v="Romario Shepherd"/>
        <s v="Urvil Patel"/>
        <s v="Jacob Bethell"/>
        <s v="Jofra Archer"/>
        <s v="Abhinav Manohar"/>
        <s v="Azmatullah Omarzai"/>
        <s v="Harshit Rana"/>
        <s v="Jake Fraser - McGurk"/>
        <s v="Rahul Tripathi"/>
        <s v="Glenn Maxwell"/>
        <s v="Corbin Bosch"/>
        <s v="Ramandeep Singh"/>
        <s v="Rashid Khan"/>
        <s v="Mitchell Santner"/>
        <s v="Deepak Chahar"/>
        <s v="Ravichandran Ashwin"/>
        <s v="Deepak Hooda"/>
        <s v="Mohd Arshad Khan"/>
        <s v="Sediqullah Atal"/>
        <s v="Avesh Khan"/>
        <s v="Harshal Patel"/>
        <s v="Kusal Mendis"/>
        <s v="Shardul Thakur"/>
        <s v="Kuldeep Yadav"/>
        <s v="Gerald Coetzee"/>
        <s v="Jamie Overton"/>
        <s v="Anshul Kamboj"/>
        <s v="Matthew Breetzke"/>
        <s v="Bhuvneshwar Kumar"/>
        <s v="Atharva Taide"/>
        <s v="Ravi Bishnoi"/>
        <s v="Harpreet Brar"/>
        <s v="Xavier Bartlett"/>
        <s v="Mohammad Shami"/>
        <s v="Dushmantha Chameera"/>
        <s v="Maheesh Theekshana"/>
        <s v="Kagiso Rabada"/>
        <s v="Shahbaz Ahmed"/>
        <s v="Wiaan Mulder"/>
        <s v="Wanindu Hasaranga"/>
        <s v="Kwena Maphaka"/>
        <s v="Raj Angad Bawa"/>
        <s v="Tushar Deshpande"/>
        <s v="Suryansh Shedge"/>
        <s v="Noor Ahmad"/>
        <s v="Akash Deep"/>
        <s v="Sandeep Sharma"/>
        <s v="Mitchell Starc"/>
        <s v="Robin Minz"/>
        <s v="Rovman Powell"/>
        <s v="Sai Kishore"/>
        <s v="Prince Yadav"/>
        <s v="Moeen Ali"/>
        <s v="Lockie Ferguson"/>
        <s v="Yash Dayal"/>
        <s v="Akash Madhwal"/>
        <s v="Madhav Tiwari"/>
        <s v="Mohammed Siraj"/>
        <s v="Kumar Kartikeya Singh"/>
        <s v="Simarjeet Singh"/>
        <s v="Fazalhaq Farooqi"/>
        <s v="Trent Boult"/>
        <s v="Spencer Johnson"/>
        <s v="Arshdeep Singh"/>
        <s v="Varun Chakaravarthy"/>
        <s v="V Satyanarayana Penmetsa"/>
        <s v="Karn Sharma"/>
        <s v="Khaleel Ahmed"/>
        <s v="Mohit Sharma"/>
        <s v="Donovan Ferreira"/>
        <s v="Digvesh Singh"/>
        <s v="Manoj Bhandage"/>
      </sharedItems>
    </cacheField>
    <cacheField name="Team" numFmtId="0">
      <sharedItems count="10">
        <s v="GT"/>
        <s v="MI"/>
        <s v="RCB"/>
        <s v="LSG"/>
        <s v="PBKS"/>
        <s v="RR"/>
        <s v="DC"/>
        <s v="SRH"/>
        <s v="KKR"/>
        <s v="CSK"/>
      </sharedItems>
    </cacheField>
    <cacheField name="Runs" numFmtId="0">
      <sharedItems containsSemiMixedTypes="0" containsString="0" containsNumber="1" containsInteger="1" minValue="1" maxValue="759"/>
    </cacheField>
    <cacheField name="Matches" numFmtId="0">
      <sharedItems containsSemiMixedTypes="0" containsString="0" containsNumber="1" containsInteger="1" minValue="1" maxValue="17"/>
    </cacheField>
    <cacheField name="Inn" numFmtId="0">
      <sharedItems containsSemiMixedTypes="0" containsString="0" containsNumber="1" containsInteger="1" minValue="1" maxValue="17"/>
    </cacheField>
    <cacheField name="No" numFmtId="0">
      <sharedItems containsSemiMixedTypes="0" containsString="0" containsNumber="1" containsInteger="1" minValue="0" maxValue="7"/>
    </cacheField>
    <cacheField name="HS" numFmtId="0">
      <sharedItems/>
    </cacheField>
    <cacheField name="AVG" numFmtId="0">
      <sharedItems/>
    </cacheField>
    <cacheField name="BF" numFmtId="0">
      <sharedItems containsSemiMixedTypes="0" containsString="0" containsNumber="1" containsInteger="1" minValue="1" maxValue="486"/>
    </cacheField>
    <cacheField name="SR" numFmtId="0">
      <sharedItems containsSemiMixedTypes="0" containsString="0" containsNumber="1" minValue="25" maxValue="400"/>
    </cacheField>
    <cacheField name="100s" numFmtId="0">
      <sharedItems containsSemiMixedTypes="0" containsString="0" containsNumber="1" containsInteger="1" minValue="0" maxValue="1"/>
    </cacheField>
    <cacheField name="50s" numFmtId="0">
      <sharedItems containsSemiMixedTypes="0" containsString="0" containsNumber="1" containsInteger="1" minValue="0" maxValue="8"/>
    </cacheField>
    <cacheField name="4s" numFmtId="0">
      <sharedItems containsSemiMixedTypes="0" containsString="0" containsNumber="1" containsInteger="1" minValue="0" maxValue="88"/>
    </cacheField>
    <cacheField name="6s" numFmtId="0">
      <sharedItems containsSemiMixedTypes="0" containsString="0" containsNumber="1" containsInteger="1" minValue="0" maxValue="40"/>
    </cacheField>
  </cacheFields>
  <extLst>
    <ext xmlns:x14="http://schemas.microsoft.com/office/spreadsheetml/2009/9/main" uri="{725AE2AE-9491-48be-B2B4-4EB974FC3084}">
      <x14:pivotCacheDefinition pivotCacheId="1347320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n v="759"/>
    <n v="15"/>
    <n v="15"/>
    <n v="1"/>
    <s v="108*"/>
    <s v="54.21"/>
    <n v="486"/>
    <n v="156.16999999999999"/>
    <n v="1"/>
    <n v="6"/>
    <n v="88"/>
    <n v="21"/>
  </r>
  <r>
    <x v="1"/>
    <x v="1"/>
    <n v="717"/>
    <n v="16"/>
    <n v="16"/>
    <n v="5"/>
    <s v="73*"/>
    <s v="65.18"/>
    <n v="427"/>
    <n v="167.91"/>
    <n v="0"/>
    <n v="5"/>
    <n v="69"/>
    <n v="38"/>
  </r>
  <r>
    <x v="2"/>
    <x v="2"/>
    <n v="657"/>
    <n v="15"/>
    <n v="15"/>
    <n v="3"/>
    <s v="73*"/>
    <s v="54.75"/>
    <n v="454"/>
    <n v="144.71"/>
    <n v="0"/>
    <n v="8"/>
    <n v="66"/>
    <n v="19"/>
  </r>
  <r>
    <x v="3"/>
    <x v="0"/>
    <n v="650"/>
    <n v="15"/>
    <n v="15"/>
    <n v="2"/>
    <s v="93*"/>
    <s v="50.00"/>
    <n v="417"/>
    <n v="155.87"/>
    <n v="0"/>
    <n v="6"/>
    <n v="62"/>
    <n v="24"/>
  </r>
  <r>
    <x v="4"/>
    <x v="3"/>
    <n v="627"/>
    <n v="13"/>
    <n v="13"/>
    <n v="0"/>
    <s v="117"/>
    <s v="48.23"/>
    <n v="383"/>
    <n v="163.69999999999999"/>
    <n v="1"/>
    <n v="6"/>
    <n v="56"/>
    <n v="37"/>
  </r>
  <r>
    <x v="5"/>
    <x v="4"/>
    <n v="604"/>
    <n v="17"/>
    <n v="17"/>
    <n v="5"/>
    <s v="97*"/>
    <s v="50.33"/>
    <n v="345"/>
    <n v="175.07"/>
    <n v="0"/>
    <n v="6"/>
    <n v="43"/>
    <n v="39"/>
  </r>
  <r>
    <x v="6"/>
    <x v="5"/>
    <n v="559"/>
    <n v="14"/>
    <n v="14"/>
    <n v="1"/>
    <s v="75"/>
    <s v="43.00"/>
    <n v="350"/>
    <n v="159.71"/>
    <n v="0"/>
    <n v="6"/>
    <n v="60"/>
    <n v="28"/>
  </r>
  <r>
    <x v="7"/>
    <x v="4"/>
    <n v="549"/>
    <n v="17"/>
    <n v="17"/>
    <n v="0"/>
    <s v="91"/>
    <s v="32.29"/>
    <n v="342"/>
    <n v="160.52000000000001"/>
    <n v="0"/>
    <n v="4"/>
    <n v="56"/>
    <n v="30"/>
  </r>
  <r>
    <x v="8"/>
    <x v="6"/>
    <n v="539"/>
    <n v="13"/>
    <n v="13"/>
    <n v="3"/>
    <s v="112*"/>
    <s v="53.90"/>
    <n v="360"/>
    <n v="149.72"/>
    <n v="1"/>
    <n v="3"/>
    <n v="52"/>
    <n v="21"/>
  </r>
  <r>
    <x v="9"/>
    <x v="0"/>
    <n v="538"/>
    <n v="14"/>
    <n v="13"/>
    <n v="4"/>
    <s v="97*"/>
    <s v="59.78"/>
    <n v="330"/>
    <n v="163.03"/>
    <n v="0"/>
    <n v="5"/>
    <n v="52"/>
    <n v="24"/>
  </r>
  <r>
    <x v="10"/>
    <x v="3"/>
    <n v="524"/>
    <n v="14"/>
    <n v="14"/>
    <n v="2"/>
    <s v="87*"/>
    <s v="43.67"/>
    <n v="267"/>
    <n v="196.25"/>
    <n v="0"/>
    <n v="5"/>
    <n v="45"/>
    <n v="40"/>
  </r>
  <r>
    <x v="11"/>
    <x v="7"/>
    <n v="487"/>
    <n v="13"/>
    <n v="13"/>
    <n v="2"/>
    <s v="105*"/>
    <s v="44.27"/>
    <n v="282"/>
    <n v="172.69"/>
    <n v="1"/>
    <n v="1"/>
    <n v="42"/>
    <n v="25"/>
  </r>
  <r>
    <x v="12"/>
    <x v="4"/>
    <n v="475"/>
    <n v="17"/>
    <n v="17"/>
    <n v="0"/>
    <s v="103"/>
    <s v="27.94"/>
    <n v="265"/>
    <n v="179.24"/>
    <n v="1"/>
    <n v="2"/>
    <n v="55"/>
    <n v="25"/>
  </r>
  <r>
    <x v="13"/>
    <x v="3"/>
    <n v="445"/>
    <n v="13"/>
    <n v="13"/>
    <n v="0"/>
    <s v="66"/>
    <s v="34.23"/>
    <n v="299"/>
    <n v="148.82"/>
    <n v="0"/>
    <n v="5"/>
    <n v="38"/>
    <n v="22"/>
  </r>
  <r>
    <x v="14"/>
    <x v="7"/>
    <n v="439"/>
    <n v="14"/>
    <n v="13"/>
    <n v="0"/>
    <s v="141"/>
    <s v="33.77"/>
    <n v="227"/>
    <n v="193.39"/>
    <n v="1"/>
    <n v="2"/>
    <n v="46"/>
    <n v="28"/>
  </r>
  <r>
    <x v="15"/>
    <x v="1"/>
    <n v="418"/>
    <n v="15"/>
    <n v="15"/>
    <n v="1"/>
    <s v="81"/>
    <s v="29.86"/>
    <n v="280"/>
    <n v="149.28"/>
    <n v="0"/>
    <n v="4"/>
    <n v="41"/>
    <n v="22"/>
  </r>
  <r>
    <x v="16"/>
    <x v="2"/>
    <n v="403"/>
    <n v="13"/>
    <n v="13"/>
    <n v="1"/>
    <s v="65"/>
    <s v="33.58"/>
    <n v="229"/>
    <n v="175.98"/>
    <n v="0"/>
    <n v="4"/>
    <n v="48"/>
    <n v="22"/>
  </r>
  <r>
    <x v="17"/>
    <x v="5"/>
    <n v="393"/>
    <n v="14"/>
    <n v="14"/>
    <n v="2"/>
    <s v="95"/>
    <s v="32.75"/>
    <n v="236"/>
    <n v="166.52"/>
    <n v="0"/>
    <n v="1"/>
    <n v="27"/>
    <n v="27"/>
  </r>
  <r>
    <x v="18"/>
    <x v="8"/>
    <n v="390"/>
    <n v="13"/>
    <n v="12"/>
    <n v="1"/>
    <s v="61"/>
    <s v="35.45"/>
    <n v="264"/>
    <n v="147.72"/>
    <n v="0"/>
    <n v="3"/>
    <n v="36"/>
    <n v="20"/>
  </r>
  <r>
    <x v="19"/>
    <x v="1"/>
    <n v="388"/>
    <n v="14"/>
    <n v="14"/>
    <n v="1"/>
    <s v="62*"/>
    <s v="29.85"/>
    <n v="257"/>
    <n v="150.97"/>
    <n v="0"/>
    <n v="3"/>
    <n v="47"/>
    <n v="17"/>
  </r>
  <r>
    <x v="20"/>
    <x v="7"/>
    <n v="374"/>
    <n v="13"/>
    <n v="12"/>
    <n v="0"/>
    <s v="76"/>
    <s v="31.17"/>
    <n v="230"/>
    <n v="162.6"/>
    <n v="0"/>
    <n v="3"/>
    <n v="50"/>
    <n v="15"/>
  </r>
  <r>
    <x v="21"/>
    <x v="4"/>
    <n v="369"/>
    <n v="16"/>
    <n v="15"/>
    <n v="3"/>
    <s v="70"/>
    <s v="30.75"/>
    <n v="253"/>
    <n v="145.84"/>
    <n v="0"/>
    <n v="2"/>
    <n v="28"/>
    <n v="21"/>
  </r>
  <r>
    <x v="22"/>
    <x v="9"/>
    <n v="357"/>
    <n v="14"/>
    <n v="14"/>
    <n v="3"/>
    <s v="50"/>
    <s v="32.45"/>
    <n v="270"/>
    <n v="132.22"/>
    <n v="0"/>
    <n v="1"/>
    <n v="22"/>
    <n v="21"/>
  </r>
  <r>
    <x v="23"/>
    <x v="7"/>
    <n v="354"/>
    <n v="14"/>
    <n v="13"/>
    <n v="3"/>
    <s v="106*"/>
    <s v="35.40"/>
    <n v="232"/>
    <n v="152.58000000000001"/>
    <n v="1"/>
    <n v="1"/>
    <n v="33"/>
    <n v="15"/>
  </r>
  <r>
    <x v="24"/>
    <x v="4"/>
    <n v="350"/>
    <n v="17"/>
    <n v="14"/>
    <n v="7"/>
    <s v="61*"/>
    <s v="50.00"/>
    <n v="228"/>
    <n v="153.5"/>
    <n v="0"/>
    <n v="3"/>
    <n v="23"/>
    <n v="18"/>
  </r>
  <r>
    <x v="25"/>
    <x v="1"/>
    <n v="343"/>
    <n v="16"/>
    <n v="13"/>
    <n v="2"/>
    <s v="59"/>
    <s v="31.18"/>
    <n v="248"/>
    <n v="138.30000000000001"/>
    <n v="0"/>
    <n v="2"/>
    <n v="23"/>
    <n v="16"/>
  </r>
  <r>
    <x v="26"/>
    <x v="5"/>
    <n v="333"/>
    <n v="14"/>
    <n v="13"/>
    <n v="4"/>
    <s v="70"/>
    <s v="37.00"/>
    <n v="213"/>
    <n v="156.33000000000001"/>
    <n v="0"/>
    <n v="2"/>
    <n v="22"/>
    <n v="22"/>
  </r>
  <r>
    <x v="27"/>
    <x v="3"/>
    <n v="329"/>
    <n v="14"/>
    <n v="11"/>
    <n v="1"/>
    <s v="74"/>
    <s v="32.90"/>
    <n v="222"/>
    <n v="148.19"/>
    <n v="0"/>
    <n v="2"/>
    <n v="27"/>
    <n v="14"/>
  </r>
  <r>
    <x v="28"/>
    <x v="2"/>
    <n v="312"/>
    <n v="15"/>
    <n v="14"/>
    <n v="1"/>
    <s v="64"/>
    <s v="24.00"/>
    <n v="217"/>
    <n v="143.77000000000001"/>
    <n v="0"/>
    <n v="2"/>
    <n v="25"/>
    <n v="14"/>
  </r>
  <r>
    <x v="29"/>
    <x v="6"/>
    <n v="301"/>
    <n v="13"/>
    <n v="13"/>
    <n v="1"/>
    <s v="51"/>
    <s v="25.08"/>
    <n v="205"/>
    <n v="146.82"/>
    <n v="0"/>
    <n v="1"/>
    <n v="28"/>
    <n v="12"/>
  </r>
  <r>
    <x v="30"/>
    <x v="9"/>
    <n v="301"/>
    <n v="14"/>
    <n v="14"/>
    <n v="5"/>
    <s v="77*"/>
    <s v="33.44"/>
    <n v="222"/>
    <n v="135.58000000000001"/>
    <n v="0"/>
    <n v="2"/>
    <n v="25"/>
    <n v="10"/>
  </r>
  <r>
    <x v="31"/>
    <x v="6"/>
    <n v="300"/>
    <n v="14"/>
    <n v="13"/>
    <n v="7"/>
    <s v="41*"/>
    <s v="50.00"/>
    <n v="199"/>
    <n v="150.75"/>
    <n v="0"/>
    <n v="0"/>
    <n v="25"/>
    <n v="11"/>
  </r>
  <r>
    <x v="32"/>
    <x v="8"/>
    <n v="300"/>
    <n v="12"/>
    <n v="11"/>
    <n v="2"/>
    <s v="50"/>
    <s v="33.33"/>
    <n v="215"/>
    <n v="139.53"/>
    <n v="0"/>
    <n v="1"/>
    <n v="30"/>
    <n v="8"/>
  </r>
  <r>
    <x v="33"/>
    <x v="0"/>
    <n v="291"/>
    <n v="13"/>
    <n v="11"/>
    <n v="2"/>
    <s v="46"/>
    <s v="32.33"/>
    <n v="185"/>
    <n v="157.29"/>
    <n v="0"/>
    <n v="0"/>
    <n v="22"/>
    <n v="18"/>
  </r>
  <r>
    <x v="34"/>
    <x v="5"/>
    <n v="285"/>
    <n v="9"/>
    <n v="9"/>
    <n v="1"/>
    <s v="66"/>
    <s v="35.63"/>
    <n v="203"/>
    <n v="140.38999999999999"/>
    <n v="0"/>
    <n v="1"/>
    <n v="27"/>
    <n v="13"/>
  </r>
  <r>
    <x v="35"/>
    <x v="4"/>
    <n v="278"/>
    <n v="11"/>
    <n v="11"/>
    <n v="2"/>
    <s v="73"/>
    <s v="30.89"/>
    <n v="171"/>
    <n v="162.57"/>
    <n v="0"/>
    <n v="1"/>
    <n v="26"/>
    <n v="16"/>
  </r>
  <r>
    <x v="36"/>
    <x v="3"/>
    <n v="269"/>
    <n v="14"/>
    <n v="13"/>
    <n v="2"/>
    <s v="118*"/>
    <s v="24.45"/>
    <n v="202"/>
    <n v="133.16"/>
    <n v="1"/>
    <n v="1"/>
    <n v="23"/>
    <n v="16"/>
  </r>
  <r>
    <x v="37"/>
    <x v="6"/>
    <n v="263"/>
    <n v="12"/>
    <n v="11"/>
    <n v="1"/>
    <s v="43"/>
    <s v="26.30"/>
    <n v="167"/>
    <n v="157.47999999999999"/>
    <n v="0"/>
    <n v="0"/>
    <n v="23"/>
    <n v="15"/>
  </r>
  <r>
    <x v="38"/>
    <x v="2"/>
    <n v="261"/>
    <n v="15"/>
    <n v="11"/>
    <n v="4"/>
    <s v="85*"/>
    <s v="37.29"/>
    <n v="148"/>
    <n v="176.35"/>
    <n v="0"/>
    <n v="1"/>
    <n v="24"/>
    <n v="17"/>
  </r>
  <r>
    <x v="39"/>
    <x v="5"/>
    <n v="252"/>
    <n v="7"/>
    <n v="7"/>
    <n v="0"/>
    <s v="101"/>
    <s v="36.00"/>
    <n v="122"/>
    <n v="206.55"/>
    <n v="1"/>
    <n v="1"/>
    <n v="18"/>
    <n v="24"/>
  </r>
  <r>
    <x v="40"/>
    <x v="1"/>
    <n v="252"/>
    <n v="16"/>
    <n v="12"/>
    <n v="4"/>
    <s v="46"/>
    <s v="31.50"/>
    <n v="138"/>
    <n v="182.6"/>
    <n v="0"/>
    <n v="0"/>
    <n v="24"/>
    <n v="13"/>
  </r>
  <r>
    <x v="41"/>
    <x v="2"/>
    <n v="247"/>
    <n v="10"/>
    <n v="10"/>
    <n v="1"/>
    <s v="61"/>
    <s v="27.44"/>
    <n v="164"/>
    <n v="150.6"/>
    <n v="0"/>
    <n v="2"/>
    <n v="21"/>
    <n v="14"/>
  </r>
  <r>
    <x v="42"/>
    <x v="8"/>
    <n v="246"/>
    <n v="12"/>
    <n v="12"/>
    <n v="1"/>
    <s v="44"/>
    <s v="22.36"/>
    <n v="144"/>
    <n v="170.83"/>
    <n v="0"/>
    <n v="0"/>
    <n v="25"/>
    <n v="19"/>
  </r>
  <r>
    <x v="43"/>
    <x v="9"/>
    <n v="240"/>
    <n v="7"/>
    <n v="7"/>
    <n v="0"/>
    <s v="94"/>
    <s v="34.29"/>
    <n v="127"/>
    <n v="188.97"/>
    <n v="0"/>
    <n v="1"/>
    <n v="31"/>
    <n v="11"/>
  </r>
  <r>
    <x v="44"/>
    <x v="5"/>
    <n v="239"/>
    <n v="14"/>
    <n v="13"/>
    <n v="2"/>
    <s v="52"/>
    <s v="21.73"/>
    <n v="164"/>
    <n v="145.72999999999999"/>
    <n v="0"/>
    <n v="1"/>
    <n v="17"/>
    <n v="11"/>
  </r>
  <r>
    <x v="45"/>
    <x v="7"/>
    <n v="236"/>
    <n v="14"/>
    <n v="12"/>
    <n v="3"/>
    <s v="74"/>
    <s v="26.22"/>
    <n v="142"/>
    <n v="166.19"/>
    <n v="0"/>
    <n v="1"/>
    <n v="12"/>
    <n v="20"/>
  </r>
  <r>
    <x v="46"/>
    <x v="1"/>
    <n v="233"/>
    <n v="13"/>
    <n v="11"/>
    <n v="1"/>
    <s v="53"/>
    <s v="23.30"/>
    <n v="172"/>
    <n v="135.46"/>
    <n v="0"/>
    <n v="1"/>
    <n v="22"/>
    <n v="11"/>
  </r>
  <r>
    <x v="47"/>
    <x v="9"/>
    <n v="225"/>
    <n v="6"/>
    <n v="6"/>
    <n v="0"/>
    <s v="57"/>
    <s v="37.50"/>
    <n v="125"/>
    <n v="180"/>
    <n v="0"/>
    <n v="2"/>
    <n v="13"/>
    <n v="17"/>
  </r>
  <r>
    <x v="48"/>
    <x v="1"/>
    <n v="224"/>
    <n v="15"/>
    <n v="12"/>
    <n v="3"/>
    <s v="48*"/>
    <s v="24.89"/>
    <n v="137"/>
    <n v="163.5"/>
    <n v="0"/>
    <n v="0"/>
    <n v="18"/>
    <n v="12"/>
  </r>
  <r>
    <x v="49"/>
    <x v="5"/>
    <n v="217"/>
    <n v="11"/>
    <n v="11"/>
    <n v="1"/>
    <s v="81"/>
    <s v="21.70"/>
    <n v="134"/>
    <n v="161.94"/>
    <n v="0"/>
    <n v="2"/>
    <n v="27"/>
    <n v="9"/>
  </r>
  <r>
    <x v="50"/>
    <x v="8"/>
    <n v="206"/>
    <n v="13"/>
    <n v="11"/>
    <n v="4"/>
    <s v="38*"/>
    <s v="29.43"/>
    <n v="134"/>
    <n v="153.72999999999999"/>
    <n v="0"/>
    <n v="0"/>
    <n v="20"/>
    <n v="10"/>
  </r>
  <r>
    <x v="51"/>
    <x v="6"/>
    <n v="204"/>
    <n v="13"/>
    <n v="9"/>
    <n v="2"/>
    <s v="66*"/>
    <s v="29.14"/>
    <n v="127"/>
    <n v="160.62"/>
    <n v="0"/>
    <n v="1"/>
    <n v="14"/>
    <n v="13"/>
  </r>
  <r>
    <x v="52"/>
    <x v="6"/>
    <n v="202"/>
    <n v="9"/>
    <n v="9"/>
    <n v="0"/>
    <s v="62"/>
    <s v="22.44"/>
    <n v="163"/>
    <n v="123.92"/>
    <n v="0"/>
    <n v="2"/>
    <n v="18"/>
    <n v="8"/>
  </r>
  <r>
    <x v="53"/>
    <x v="6"/>
    <n v="198"/>
    <n v="8"/>
    <n v="8"/>
    <n v="0"/>
    <s v="89"/>
    <s v="24.75"/>
    <n v="115"/>
    <n v="172.17"/>
    <n v="0"/>
    <n v="1"/>
    <n v="24"/>
    <n v="10"/>
  </r>
  <r>
    <x v="54"/>
    <x v="9"/>
    <n v="196"/>
    <n v="14"/>
    <n v="13"/>
    <n v="5"/>
    <s v="30*"/>
    <s v="24.50"/>
    <n v="145"/>
    <n v="135.16999999999999"/>
    <n v="0"/>
    <n v="0"/>
    <n v="12"/>
    <n v="12"/>
  </r>
  <r>
    <x v="55"/>
    <x v="9"/>
    <n v="191"/>
    <n v="8"/>
    <n v="8"/>
    <n v="1"/>
    <s v="65*"/>
    <s v="27.29"/>
    <n v="149"/>
    <n v="128.18"/>
    <n v="0"/>
    <n v="1"/>
    <n v="18"/>
    <n v="4"/>
  </r>
  <r>
    <x v="56"/>
    <x v="2"/>
    <n v="187"/>
    <n v="12"/>
    <n v="9"/>
    <n v="6"/>
    <s v="50*"/>
    <s v="62.33"/>
    <n v="101"/>
    <n v="185.14"/>
    <n v="0"/>
    <n v="1"/>
    <n v="16"/>
    <n v="14"/>
  </r>
  <r>
    <x v="57"/>
    <x v="7"/>
    <n v="182"/>
    <n v="13"/>
    <n v="11"/>
    <n v="3"/>
    <s v="32"/>
    <s v="22.75"/>
    <n v="153"/>
    <n v="118.95"/>
    <n v="0"/>
    <n v="0"/>
    <n v="16"/>
    <n v="4"/>
  </r>
  <r>
    <x v="58"/>
    <x v="0"/>
    <n v="179"/>
    <n v="15"/>
    <n v="11"/>
    <n v="5"/>
    <s v="57"/>
    <s v="29.83"/>
    <n v="100"/>
    <n v="179"/>
    <n v="0"/>
    <n v="1"/>
    <n v="11"/>
    <n v="13"/>
  </r>
  <r>
    <x v="59"/>
    <x v="8"/>
    <n v="167"/>
    <n v="13"/>
    <n v="10"/>
    <n v="1"/>
    <s v="57*"/>
    <s v="18.56"/>
    <n v="102"/>
    <n v="163.72"/>
    <n v="0"/>
    <n v="1"/>
    <n v="16"/>
    <n v="14"/>
  </r>
  <r>
    <x v="60"/>
    <x v="3"/>
    <n v="164"/>
    <n v="13"/>
    <n v="12"/>
    <n v="4"/>
    <s v="45"/>
    <s v="20.50"/>
    <n v="93"/>
    <n v="176.34"/>
    <n v="0"/>
    <n v="0"/>
    <n v="8"/>
    <n v="14"/>
  </r>
  <r>
    <x v="61"/>
    <x v="4"/>
    <n v="160"/>
    <n v="13"/>
    <n v="11"/>
    <n v="5"/>
    <s v="44*"/>
    <s v="26.67"/>
    <n v="86"/>
    <n v="186.04"/>
    <n v="0"/>
    <n v="0"/>
    <n v="8"/>
    <n v="15"/>
  </r>
  <r>
    <x v="62"/>
    <x v="9"/>
    <n v="156"/>
    <n v="6"/>
    <n v="6"/>
    <n v="0"/>
    <s v="69"/>
    <s v="26.00"/>
    <n v="119"/>
    <n v="131.09"/>
    <n v="0"/>
    <n v="2"/>
    <n v="17"/>
    <n v="4"/>
  </r>
  <r>
    <x v="63"/>
    <x v="3"/>
    <n v="153"/>
    <n v="11"/>
    <n v="11"/>
    <n v="6"/>
    <s v="27*"/>
    <s v="30.60"/>
    <n v="120"/>
    <n v="127.5"/>
    <n v="0"/>
    <n v="0"/>
    <n v="13"/>
    <n v="4"/>
  </r>
  <r>
    <x v="64"/>
    <x v="8"/>
    <n v="152"/>
    <n v="8"/>
    <n v="8"/>
    <n v="1"/>
    <s v="97*"/>
    <s v="21.71"/>
    <n v="117"/>
    <n v="129.91"/>
    <n v="0"/>
    <n v="1"/>
    <n v="9"/>
    <n v="11"/>
  </r>
  <r>
    <x v="65"/>
    <x v="6"/>
    <n v="142"/>
    <n v="14"/>
    <n v="8"/>
    <n v="1"/>
    <s v="39"/>
    <s v="20.29"/>
    <n v="79"/>
    <n v="179.74"/>
    <n v="0"/>
    <n v="0"/>
    <n v="15"/>
    <n v="8"/>
  </r>
  <r>
    <x v="66"/>
    <x v="8"/>
    <n v="142"/>
    <n v="11"/>
    <n v="7"/>
    <n v="0"/>
    <s v="60"/>
    <s v="20.29"/>
    <n v="102"/>
    <n v="139.21"/>
    <n v="0"/>
    <n v="1"/>
    <n v="15"/>
    <n v="4"/>
  </r>
  <r>
    <x v="67"/>
    <x v="0"/>
    <n v="133"/>
    <n v="6"/>
    <n v="5"/>
    <n v="0"/>
    <s v="49"/>
    <s v="26.60"/>
    <n v="80"/>
    <n v="166.25"/>
    <n v="0"/>
    <n v="0"/>
    <n v="10"/>
    <n v="7"/>
  </r>
  <r>
    <x v="68"/>
    <x v="9"/>
    <n v="122"/>
    <n v="5"/>
    <n v="5"/>
    <n v="0"/>
    <s v="63"/>
    <s v="24.40"/>
    <n v="81"/>
    <n v="150.61000000000001"/>
    <n v="0"/>
    <n v="2"/>
    <n v="14"/>
    <n v="4"/>
  </r>
  <r>
    <x v="69"/>
    <x v="6"/>
    <n v="121"/>
    <n v="5"/>
    <n v="4"/>
    <n v="1"/>
    <s v="58*"/>
    <s v="40.33"/>
    <n v="79"/>
    <n v="153.16"/>
    <n v="0"/>
    <n v="1"/>
    <n v="11"/>
    <n v="7"/>
  </r>
  <r>
    <x v="70"/>
    <x v="9"/>
    <n v="118"/>
    <n v="6"/>
    <n v="5"/>
    <n v="2"/>
    <s v="69*"/>
    <s v="39.33"/>
    <n v="91"/>
    <n v="129.66999999999999"/>
    <n v="0"/>
    <n v="1"/>
    <n v="8"/>
    <n v="3"/>
  </r>
  <r>
    <x v="71"/>
    <x v="9"/>
    <n v="114"/>
    <n v="5"/>
    <n v="5"/>
    <n v="0"/>
    <s v="88"/>
    <s v="22.80"/>
    <n v="84"/>
    <n v="135.71"/>
    <n v="0"/>
    <n v="1"/>
    <n v="11"/>
    <n v="4"/>
  </r>
  <r>
    <x v="72"/>
    <x v="2"/>
    <n v="112"/>
    <n v="10"/>
    <n v="8"/>
    <n v="1"/>
    <s v="54"/>
    <s v="16.00"/>
    <n v="84"/>
    <n v="133.33000000000001"/>
    <n v="0"/>
    <n v="1"/>
    <n v="4"/>
    <n v="9"/>
  </r>
  <r>
    <x v="73"/>
    <x v="2"/>
    <n v="109"/>
    <n v="15"/>
    <n v="7"/>
    <n v="1"/>
    <s v="73*"/>
    <s v="18.17"/>
    <n v="86"/>
    <n v="126.74"/>
    <n v="0"/>
    <n v="1"/>
    <n v="9"/>
    <n v="4"/>
  </r>
  <r>
    <x v="74"/>
    <x v="5"/>
    <n v="106"/>
    <n v="9"/>
    <n v="8"/>
    <n v="4"/>
    <s v="34*"/>
    <s v="26.50"/>
    <n v="66"/>
    <n v="160.6"/>
    <n v="0"/>
    <n v="0"/>
    <n v="6"/>
    <n v="8"/>
  </r>
  <r>
    <x v="75"/>
    <x v="0"/>
    <n v="99"/>
    <n v="15"/>
    <n v="12"/>
    <n v="4"/>
    <s v="24*"/>
    <s v="12.38"/>
    <n v="59"/>
    <n v="167.79"/>
    <n v="0"/>
    <n v="0"/>
    <n v="6"/>
    <n v="7"/>
  </r>
  <r>
    <x v="76"/>
    <x v="7"/>
    <n v="97"/>
    <n v="14"/>
    <n v="9"/>
    <n v="5"/>
    <s v="22*"/>
    <s v="24.25"/>
    <n v="58"/>
    <n v="167.24"/>
    <n v="0"/>
    <n v="0"/>
    <n v="6"/>
    <n v="7"/>
  </r>
  <r>
    <x v="77"/>
    <x v="2"/>
    <n v="95"/>
    <n v="4"/>
    <n v="4"/>
    <n v="1"/>
    <s v="41*"/>
    <s v="31.67"/>
    <n v="64"/>
    <n v="148.43"/>
    <n v="0"/>
    <n v="0"/>
    <n v="10"/>
    <n v="2"/>
  </r>
  <r>
    <x v="78"/>
    <x v="8"/>
    <n v="92"/>
    <n v="3"/>
    <n v="3"/>
    <n v="1"/>
    <s v="37"/>
    <s v="46.00"/>
    <n v="65"/>
    <n v="141.53"/>
    <n v="0"/>
    <n v="0"/>
    <n v="5"/>
    <n v="5"/>
  </r>
  <r>
    <x v="79"/>
    <x v="7"/>
    <n v="92"/>
    <n v="5"/>
    <n v="5"/>
    <n v="2"/>
    <s v="32*"/>
    <s v="30.67"/>
    <n v="69"/>
    <n v="133.33000000000001"/>
    <n v="0"/>
    <n v="0"/>
    <n v="7"/>
    <n v="2"/>
  </r>
  <r>
    <x v="80"/>
    <x v="1"/>
    <n v="85"/>
    <n v="2"/>
    <n v="2"/>
    <n v="0"/>
    <s v="47"/>
    <s v="42.50"/>
    <n v="46"/>
    <n v="184.78"/>
    <n v="0"/>
    <n v="0"/>
    <n v="7"/>
    <n v="5"/>
  </r>
  <r>
    <x v="81"/>
    <x v="4"/>
    <n v="75"/>
    <n v="14"/>
    <n v="8"/>
    <n v="4"/>
    <s v="34*"/>
    <s v="18.75"/>
    <n v="63"/>
    <n v="119.04"/>
    <n v="0"/>
    <n v="0"/>
    <n v="3"/>
    <n v="4"/>
  </r>
  <r>
    <x v="82"/>
    <x v="8"/>
    <n v="74"/>
    <n v="5"/>
    <n v="5"/>
    <n v="1"/>
    <s v="35"/>
    <s v="18.50"/>
    <n v="53"/>
    <n v="139.62"/>
    <n v="0"/>
    <n v="0"/>
    <n v="10"/>
    <n v="3"/>
  </r>
  <r>
    <x v="83"/>
    <x v="9"/>
    <n v="71"/>
    <n v="5"/>
    <n v="5"/>
    <n v="0"/>
    <s v="27"/>
    <s v="14.20"/>
    <n v="63"/>
    <n v="112.69"/>
    <n v="0"/>
    <n v="0"/>
    <n v="9"/>
    <n v="2"/>
  </r>
  <r>
    <x v="84"/>
    <x v="2"/>
    <n v="70"/>
    <n v="8"/>
    <n v="3"/>
    <n v="1"/>
    <s v="53*"/>
    <s v="35.00"/>
    <n v="24"/>
    <n v="291.66000000000003"/>
    <n v="0"/>
    <n v="1"/>
    <n v="5"/>
    <n v="7"/>
  </r>
  <r>
    <x v="85"/>
    <x v="9"/>
    <n v="68"/>
    <n v="3"/>
    <n v="3"/>
    <n v="0"/>
    <s v="37"/>
    <s v="22.67"/>
    <n v="32"/>
    <n v="212.5"/>
    <n v="0"/>
    <n v="0"/>
    <n v="5"/>
    <n v="6"/>
  </r>
  <r>
    <x v="86"/>
    <x v="2"/>
    <n v="67"/>
    <n v="2"/>
    <n v="2"/>
    <n v="0"/>
    <s v="55"/>
    <s v="33.50"/>
    <n v="39"/>
    <n v="171.79"/>
    <n v="0"/>
    <n v="1"/>
    <n v="9"/>
    <n v="3"/>
  </r>
  <r>
    <x v="87"/>
    <x v="5"/>
    <n v="63"/>
    <n v="12"/>
    <n v="7"/>
    <n v="1"/>
    <s v="30"/>
    <s v="10.50"/>
    <n v="50"/>
    <n v="126"/>
    <n v="0"/>
    <n v="0"/>
    <n v="3"/>
    <n v="4"/>
  </r>
  <r>
    <x v="88"/>
    <x v="7"/>
    <n v="61"/>
    <n v="8"/>
    <n v="5"/>
    <n v="0"/>
    <s v="43"/>
    <s v="12.20"/>
    <n v="61"/>
    <n v="100"/>
    <n v="0"/>
    <n v="0"/>
    <n v="2"/>
    <n v="4"/>
  </r>
  <r>
    <x v="89"/>
    <x v="4"/>
    <n v="57"/>
    <n v="9"/>
    <n v="5"/>
    <n v="1"/>
    <s v="21*"/>
    <s v="14.25"/>
    <n v="41"/>
    <n v="139.02000000000001"/>
    <n v="0"/>
    <n v="0"/>
    <n v="6"/>
    <n v="3"/>
  </r>
  <r>
    <x v="90"/>
    <x v="8"/>
    <n v="57"/>
    <n v="13"/>
    <n v="7"/>
    <n v="3"/>
    <s v="34"/>
    <s v="14.25"/>
    <n v="53"/>
    <n v="107.54"/>
    <n v="0"/>
    <n v="0"/>
    <n v="5"/>
    <n v="3"/>
  </r>
  <r>
    <x v="91"/>
    <x v="6"/>
    <n v="55"/>
    <n v="6"/>
    <n v="6"/>
    <n v="0"/>
    <s v="38"/>
    <s v="9.17"/>
    <n v="52"/>
    <n v="105.76"/>
    <n v="0"/>
    <n v="0"/>
    <n v="7"/>
    <n v="2"/>
  </r>
  <r>
    <x v="92"/>
    <x v="9"/>
    <n v="55"/>
    <n v="5"/>
    <n v="5"/>
    <n v="0"/>
    <s v="23"/>
    <s v="11.00"/>
    <n v="57"/>
    <n v="96.49"/>
    <n v="0"/>
    <n v="0"/>
    <n v="6"/>
    <n v="1"/>
  </r>
  <r>
    <x v="93"/>
    <x v="4"/>
    <n v="48"/>
    <n v="7"/>
    <n v="6"/>
    <n v="0"/>
    <s v="30"/>
    <s v="8.00"/>
    <n v="49"/>
    <n v="97.95"/>
    <n v="0"/>
    <n v="0"/>
    <n v="5"/>
    <n v="1"/>
  </r>
  <r>
    <x v="94"/>
    <x v="1"/>
    <n v="47"/>
    <n v="2"/>
    <n v="2"/>
    <n v="0"/>
    <s v="27"/>
    <s v="23.50"/>
    <n v="32"/>
    <n v="146.87"/>
    <n v="0"/>
    <n v="0"/>
    <n v="3"/>
    <n v="3"/>
  </r>
  <r>
    <x v="95"/>
    <x v="8"/>
    <n v="47"/>
    <n v="11"/>
    <n v="7"/>
    <n v="2"/>
    <s v="22"/>
    <s v="9.40"/>
    <n v="35"/>
    <n v="134.28"/>
    <n v="0"/>
    <n v="0"/>
    <n v="1"/>
    <n v="4"/>
  </r>
  <r>
    <x v="96"/>
    <x v="0"/>
    <n v="40"/>
    <n v="15"/>
    <n v="8"/>
    <n v="3"/>
    <s v="12"/>
    <s v="8.00"/>
    <n v="28"/>
    <n v="142.85"/>
    <n v="0"/>
    <n v="0"/>
    <n v="2"/>
    <n v="3"/>
  </r>
  <r>
    <x v="97"/>
    <x v="1"/>
    <n v="40"/>
    <n v="13"/>
    <n v="8"/>
    <n v="6"/>
    <s v="18*"/>
    <s v="20.00"/>
    <n v="33"/>
    <n v="121.21"/>
    <n v="0"/>
    <n v="0"/>
    <n v="2"/>
    <n v="3"/>
  </r>
  <r>
    <x v="98"/>
    <x v="1"/>
    <n v="37"/>
    <n v="14"/>
    <n v="4"/>
    <n v="3"/>
    <s v="28*"/>
    <s v="37.00"/>
    <n v="25"/>
    <n v="148"/>
    <n v="0"/>
    <n v="0"/>
    <n v="3"/>
    <n v="2"/>
  </r>
  <r>
    <x v="99"/>
    <x v="9"/>
    <n v="33"/>
    <n v="9"/>
    <n v="4"/>
    <n v="0"/>
    <s v="13"/>
    <s v="8.25"/>
    <n v="30"/>
    <n v="110"/>
    <n v="0"/>
    <n v="0"/>
    <n v="3"/>
    <n v="1"/>
  </r>
  <r>
    <x v="100"/>
    <x v="9"/>
    <n v="31"/>
    <n v="7"/>
    <n v="5"/>
    <n v="0"/>
    <s v="22"/>
    <s v="6.20"/>
    <n v="41"/>
    <n v="75.599999999999994"/>
    <n v="0"/>
    <n v="0"/>
    <n v="2"/>
    <n v="1"/>
  </r>
  <r>
    <x v="101"/>
    <x v="0"/>
    <n v="23"/>
    <n v="9"/>
    <n v="5"/>
    <n v="3"/>
    <s v="20"/>
    <s v="11.50"/>
    <n v="19"/>
    <n v="121.05"/>
    <n v="0"/>
    <n v="0"/>
    <n v="0"/>
    <n v="3"/>
  </r>
  <r>
    <x v="102"/>
    <x v="6"/>
    <n v="22"/>
    <n v="1"/>
    <n v="1"/>
    <n v="0"/>
    <s v="22"/>
    <s v="22.00"/>
    <n v="16"/>
    <n v="137.5"/>
    <n v="0"/>
    <n v="0"/>
    <n v="0"/>
    <n v="2"/>
  </r>
  <r>
    <x v="103"/>
    <x v="3"/>
    <n v="21"/>
    <n v="13"/>
    <n v="4"/>
    <n v="3"/>
    <s v="19*"/>
    <s v="21.00"/>
    <n v="12"/>
    <n v="175"/>
    <n v="0"/>
    <n v="0"/>
    <n v="3"/>
    <n v="1"/>
  </r>
  <r>
    <x v="104"/>
    <x v="7"/>
    <n v="21"/>
    <n v="13"/>
    <n v="4"/>
    <n v="2"/>
    <s v="12*"/>
    <s v="10.50"/>
    <n v="26"/>
    <n v="80.760000000000005"/>
    <n v="0"/>
    <n v="0"/>
    <n v="0"/>
    <n v="0"/>
  </r>
  <r>
    <x v="105"/>
    <x v="0"/>
    <n v="20"/>
    <n v="1"/>
    <n v="1"/>
    <n v="0"/>
    <s v="20"/>
    <s v="20.00"/>
    <n v="10"/>
    <n v="200"/>
    <n v="0"/>
    <n v="0"/>
    <n v="1"/>
    <n v="2"/>
  </r>
  <r>
    <x v="106"/>
    <x v="3"/>
    <n v="18"/>
    <n v="10"/>
    <n v="5"/>
    <n v="2"/>
    <s v="6"/>
    <s v="6.00"/>
    <n v="12"/>
    <n v="150"/>
    <n v="0"/>
    <n v="0"/>
    <n v="3"/>
    <n v="0"/>
  </r>
  <r>
    <x v="107"/>
    <x v="6"/>
    <n v="18"/>
    <n v="14"/>
    <n v="5"/>
    <n v="2"/>
    <s v="7"/>
    <s v="6.00"/>
    <n v="16"/>
    <n v="112.5"/>
    <n v="0"/>
    <n v="0"/>
    <n v="2"/>
    <n v="0"/>
  </r>
  <r>
    <x v="108"/>
    <x v="0"/>
    <n v="17"/>
    <n v="4"/>
    <n v="2"/>
    <n v="0"/>
    <s v="12"/>
    <s v="8.50"/>
    <n v="11"/>
    <n v="154.54"/>
    <n v="0"/>
    <n v="0"/>
    <n v="2"/>
    <n v="1"/>
  </r>
  <r>
    <x v="109"/>
    <x v="9"/>
    <n v="15"/>
    <n v="3"/>
    <n v="2"/>
    <n v="2"/>
    <s v="11*"/>
    <s v="-"/>
    <n v="7"/>
    <n v="214.28"/>
    <n v="0"/>
    <n v="0"/>
    <n v="1"/>
    <n v="1"/>
  </r>
  <r>
    <x v="110"/>
    <x v="9"/>
    <n v="14"/>
    <n v="8"/>
    <n v="5"/>
    <n v="3"/>
    <s v="5*"/>
    <s v="7.00"/>
    <n v="12"/>
    <n v="116.66"/>
    <n v="0"/>
    <n v="0"/>
    <n v="2"/>
    <n v="0"/>
  </r>
  <r>
    <x v="111"/>
    <x v="3"/>
    <n v="14"/>
    <n v="1"/>
    <n v="1"/>
    <n v="0"/>
    <s v="14"/>
    <s v="14.00"/>
    <n v="12"/>
    <n v="116.66"/>
    <n v="0"/>
    <n v="0"/>
    <n v="1"/>
    <n v="1"/>
  </r>
  <r>
    <x v="112"/>
    <x v="2"/>
    <n v="14"/>
    <n v="14"/>
    <n v="6"/>
    <n v="3"/>
    <s v="8"/>
    <s v="4.67"/>
    <n v="25"/>
    <n v="56"/>
    <n v="0"/>
    <n v="0"/>
    <n v="1"/>
    <n v="0"/>
  </r>
  <r>
    <x v="113"/>
    <x v="7"/>
    <n v="13"/>
    <n v="1"/>
    <n v="1"/>
    <n v="0"/>
    <s v="13"/>
    <s v="13.00"/>
    <n v="9"/>
    <n v="144.44"/>
    <n v="0"/>
    <n v="0"/>
    <n v="3"/>
    <n v="0"/>
  </r>
  <r>
    <x v="114"/>
    <x v="3"/>
    <n v="13"/>
    <n v="11"/>
    <n v="3"/>
    <n v="1"/>
    <s v="13"/>
    <s v="6.50"/>
    <n v="16"/>
    <n v="81.25"/>
    <n v="0"/>
    <n v="0"/>
    <n v="0"/>
    <n v="2"/>
  </r>
  <r>
    <x v="115"/>
    <x v="4"/>
    <n v="11"/>
    <n v="8"/>
    <n v="2"/>
    <n v="1"/>
    <s v="7*"/>
    <s v="11.00"/>
    <n v="13"/>
    <n v="84.61"/>
    <n v="0"/>
    <n v="0"/>
    <n v="0"/>
    <n v="1"/>
  </r>
  <r>
    <x v="116"/>
    <x v="4"/>
    <n v="11"/>
    <n v="4"/>
    <n v="1"/>
    <n v="0"/>
    <s v="11"/>
    <s v="11.00"/>
    <n v="15"/>
    <n v="73.33"/>
    <n v="0"/>
    <n v="0"/>
    <n v="1"/>
    <n v="0"/>
  </r>
  <r>
    <x v="117"/>
    <x v="7"/>
    <n v="10"/>
    <n v="9"/>
    <n v="4"/>
    <n v="3"/>
    <s v="6*"/>
    <s v="10.00"/>
    <n v="10"/>
    <n v="100"/>
    <n v="0"/>
    <n v="0"/>
    <n v="1"/>
    <n v="0"/>
  </r>
  <r>
    <x v="118"/>
    <x v="6"/>
    <n v="10"/>
    <n v="6"/>
    <n v="3"/>
    <n v="3"/>
    <s v="8*"/>
    <s v="-"/>
    <n v="14"/>
    <n v="71.42"/>
    <n v="0"/>
    <n v="0"/>
    <n v="0"/>
    <n v="0"/>
  </r>
  <r>
    <x v="119"/>
    <x v="5"/>
    <n v="10"/>
    <n v="11"/>
    <n v="4"/>
    <n v="2"/>
    <s v="5"/>
    <s v="5.00"/>
    <n v="27"/>
    <n v="37.03"/>
    <n v="0"/>
    <n v="0"/>
    <n v="0"/>
    <n v="0"/>
  </r>
  <r>
    <x v="120"/>
    <x v="0"/>
    <n v="9"/>
    <n v="4"/>
    <n v="2"/>
    <n v="1"/>
    <s v="7*"/>
    <s v="9.00"/>
    <n v="8"/>
    <n v="112.5"/>
    <n v="0"/>
    <n v="0"/>
    <n v="0"/>
    <n v="1"/>
  </r>
  <r>
    <x v="121"/>
    <x v="3"/>
    <n v="9"/>
    <n v="3"/>
    <n v="1"/>
    <n v="0"/>
    <s v="9"/>
    <s v="9.00"/>
    <n v="8"/>
    <n v="112.5"/>
    <n v="0"/>
    <n v="0"/>
    <n v="1"/>
    <n v="0"/>
  </r>
  <r>
    <x v="122"/>
    <x v="7"/>
    <n v="9"/>
    <n v="1"/>
    <n v="1"/>
    <n v="0"/>
    <s v="9"/>
    <s v="9.00"/>
    <n v="11"/>
    <n v="81.81"/>
    <n v="0"/>
    <n v="0"/>
    <n v="1"/>
    <n v="0"/>
  </r>
  <r>
    <x v="123"/>
    <x v="5"/>
    <n v="9"/>
    <n v="11"/>
    <n v="5"/>
    <n v="0"/>
    <s v="4"/>
    <s v="1.80"/>
    <n v="15"/>
    <n v="60"/>
    <n v="0"/>
    <n v="0"/>
    <n v="0"/>
    <n v="0"/>
  </r>
  <r>
    <x v="124"/>
    <x v="5"/>
    <n v="8"/>
    <n v="2"/>
    <n v="1"/>
    <n v="1"/>
    <s v="8*"/>
    <s v="-"/>
    <n v="2"/>
    <n v="400"/>
    <n v="0"/>
    <n v="0"/>
    <n v="2"/>
    <n v="0"/>
  </r>
  <r>
    <x v="125"/>
    <x v="1"/>
    <n v="8"/>
    <n v="3"/>
    <n v="1"/>
    <n v="1"/>
    <s v="8*"/>
    <s v="-"/>
    <n v="4"/>
    <n v="200"/>
    <n v="0"/>
    <n v="0"/>
    <n v="0"/>
    <n v="0"/>
  </r>
  <r>
    <x v="126"/>
    <x v="5"/>
    <n v="7"/>
    <n v="10"/>
    <n v="4"/>
    <n v="3"/>
    <s v="3"/>
    <s v="7.00"/>
    <n v="8"/>
    <n v="87.5"/>
    <n v="0"/>
    <n v="0"/>
    <n v="0"/>
    <n v="0"/>
  </r>
  <r>
    <x v="127"/>
    <x v="4"/>
    <n v="7"/>
    <n v="5"/>
    <n v="3"/>
    <n v="0"/>
    <s v="4"/>
    <s v="2.33"/>
    <n v="11"/>
    <n v="63.63"/>
    <n v="0"/>
    <n v="0"/>
    <n v="0"/>
    <n v="0"/>
  </r>
  <r>
    <x v="128"/>
    <x v="9"/>
    <n v="7"/>
    <n v="14"/>
    <n v="6"/>
    <n v="2"/>
    <s v="2*"/>
    <s v="1.75"/>
    <n v="17"/>
    <n v="41.17"/>
    <n v="0"/>
    <n v="0"/>
    <n v="0"/>
    <n v="0"/>
  </r>
  <r>
    <x v="129"/>
    <x v="3"/>
    <n v="6"/>
    <n v="6"/>
    <n v="2"/>
    <n v="1"/>
    <s v="6*"/>
    <s v="6.00"/>
    <n v="2"/>
    <n v="300"/>
    <n v="0"/>
    <n v="0"/>
    <n v="0"/>
    <n v="1"/>
  </r>
  <r>
    <x v="130"/>
    <x v="5"/>
    <n v="6"/>
    <n v="10"/>
    <n v="1"/>
    <n v="1"/>
    <s v="6*"/>
    <s v="-"/>
    <n v="5"/>
    <n v="120"/>
    <n v="0"/>
    <n v="0"/>
    <n v="0"/>
    <n v="0"/>
  </r>
  <r>
    <x v="131"/>
    <x v="6"/>
    <n v="6"/>
    <n v="11"/>
    <n v="6"/>
    <n v="4"/>
    <s v="2*"/>
    <s v="3.00"/>
    <n v="10"/>
    <n v="60"/>
    <n v="0"/>
    <n v="0"/>
    <n v="0"/>
    <n v="0"/>
  </r>
  <r>
    <x v="132"/>
    <x v="1"/>
    <n v="6"/>
    <n v="2"/>
    <n v="2"/>
    <n v="0"/>
    <s v="3"/>
    <s v="3.00"/>
    <n v="15"/>
    <n v="40"/>
    <n v="0"/>
    <n v="0"/>
    <n v="0"/>
    <n v="0"/>
  </r>
  <r>
    <x v="133"/>
    <x v="8"/>
    <n v="5"/>
    <n v="2"/>
    <n v="1"/>
    <n v="0"/>
    <s v="5"/>
    <s v="5.00"/>
    <n v="5"/>
    <n v="100"/>
    <n v="0"/>
    <n v="0"/>
    <n v="1"/>
    <n v="0"/>
  </r>
  <r>
    <x v="134"/>
    <x v="0"/>
    <n v="5"/>
    <n v="15"/>
    <n v="3"/>
    <n v="0"/>
    <s v="3"/>
    <s v="1.67"/>
    <n v="10"/>
    <n v="50"/>
    <n v="0"/>
    <n v="0"/>
    <n v="0"/>
    <n v="0"/>
  </r>
  <r>
    <x v="135"/>
    <x v="3"/>
    <n v="5"/>
    <n v="6"/>
    <n v="2"/>
    <n v="2"/>
    <s v="4*"/>
    <s v="-"/>
    <n v="10"/>
    <n v="50"/>
    <n v="0"/>
    <n v="0"/>
    <n v="0"/>
    <n v="0"/>
  </r>
  <r>
    <x v="136"/>
    <x v="8"/>
    <n v="5"/>
    <n v="6"/>
    <n v="2"/>
    <n v="0"/>
    <s v="5"/>
    <s v="2.50"/>
    <n v="14"/>
    <n v="35.71"/>
    <n v="0"/>
    <n v="0"/>
    <n v="0"/>
    <n v="0"/>
  </r>
  <r>
    <x v="137"/>
    <x v="4"/>
    <n v="4"/>
    <n v="4"/>
    <n v="1"/>
    <n v="1"/>
    <s v="4*"/>
    <s v="-"/>
    <n v="1"/>
    <n v="400"/>
    <n v="0"/>
    <n v="0"/>
    <n v="1"/>
    <n v="0"/>
  </r>
  <r>
    <x v="138"/>
    <x v="2"/>
    <n v="4"/>
    <n v="15"/>
    <n v="3"/>
    <n v="1"/>
    <s v="3"/>
    <s v="2.00"/>
    <n v="8"/>
    <n v="50"/>
    <n v="0"/>
    <n v="0"/>
    <n v="0"/>
    <n v="0"/>
  </r>
  <r>
    <x v="139"/>
    <x v="5"/>
    <n v="4"/>
    <n v="4"/>
    <n v="1"/>
    <n v="1"/>
    <s v="4*"/>
    <s v="-"/>
    <n v="9"/>
    <n v="44.44"/>
    <n v="0"/>
    <n v="0"/>
    <n v="0"/>
    <n v="0"/>
  </r>
  <r>
    <x v="140"/>
    <x v="6"/>
    <n v="3"/>
    <n v="1"/>
    <n v="1"/>
    <n v="0"/>
    <s v="3"/>
    <s v="3.00"/>
    <n v="4"/>
    <n v="75"/>
    <n v="0"/>
    <n v="0"/>
    <n v="0"/>
    <n v="0"/>
  </r>
  <r>
    <x v="141"/>
    <x v="0"/>
    <n v="3"/>
    <n v="15"/>
    <n v="1"/>
    <n v="1"/>
    <s v="3*"/>
    <s v="-"/>
    <n v="4"/>
    <n v="75"/>
    <n v="0"/>
    <n v="0"/>
    <n v="0"/>
    <n v="0"/>
  </r>
  <r>
    <x v="142"/>
    <x v="5"/>
    <n v="3"/>
    <n v="4"/>
    <n v="2"/>
    <n v="0"/>
    <s v="2"/>
    <s v="1.50"/>
    <n v="5"/>
    <n v="60"/>
    <n v="0"/>
    <n v="0"/>
    <n v="0"/>
    <n v="0"/>
  </r>
  <r>
    <x v="143"/>
    <x v="7"/>
    <n v="3"/>
    <n v="4"/>
    <n v="3"/>
    <n v="1"/>
    <s v="3*"/>
    <s v="1.50"/>
    <n v="7"/>
    <n v="42.85"/>
    <n v="0"/>
    <n v="0"/>
    <n v="0"/>
    <n v="0"/>
  </r>
  <r>
    <x v="144"/>
    <x v="5"/>
    <n v="2"/>
    <n v="5"/>
    <n v="1"/>
    <n v="1"/>
    <s v="2*"/>
    <s v="-"/>
    <n v="2"/>
    <n v="100"/>
    <n v="0"/>
    <n v="0"/>
    <n v="0"/>
    <n v="0"/>
  </r>
  <r>
    <x v="145"/>
    <x v="1"/>
    <n v="2"/>
    <n v="16"/>
    <n v="2"/>
    <n v="1"/>
    <s v="1*"/>
    <s v="2.00"/>
    <n v="3"/>
    <n v="66.66"/>
    <n v="0"/>
    <n v="0"/>
    <n v="0"/>
    <n v="0"/>
  </r>
  <r>
    <x v="146"/>
    <x v="8"/>
    <n v="2"/>
    <n v="4"/>
    <n v="2"/>
    <n v="2"/>
    <s v="1*"/>
    <s v="-"/>
    <n v="4"/>
    <n v="50"/>
    <n v="0"/>
    <n v="0"/>
    <n v="0"/>
    <n v="0"/>
  </r>
  <r>
    <x v="147"/>
    <x v="4"/>
    <n v="2"/>
    <n v="17"/>
    <n v="2"/>
    <n v="1"/>
    <s v="1*"/>
    <s v="2.00"/>
    <n v="6"/>
    <n v="33.33"/>
    <n v="0"/>
    <n v="0"/>
    <n v="0"/>
    <n v="0"/>
  </r>
  <r>
    <x v="148"/>
    <x v="8"/>
    <n v="1"/>
    <n v="13"/>
    <n v="1"/>
    <n v="1"/>
    <s v="1*"/>
    <s v="-"/>
    <n v="1"/>
    <n v="100"/>
    <n v="0"/>
    <n v="0"/>
    <n v="0"/>
    <n v="0"/>
  </r>
  <r>
    <x v="149"/>
    <x v="1"/>
    <n v="1"/>
    <n v="2"/>
    <n v="1"/>
    <n v="1"/>
    <s v="1*"/>
    <s v="-"/>
    <n v="1"/>
    <n v="100"/>
    <n v="0"/>
    <n v="0"/>
    <n v="0"/>
    <n v="0"/>
  </r>
  <r>
    <x v="150"/>
    <x v="1"/>
    <n v="1"/>
    <n v="6"/>
    <n v="1"/>
    <n v="1"/>
    <s v="1*"/>
    <s v="-"/>
    <n v="1"/>
    <n v="100"/>
    <n v="0"/>
    <n v="0"/>
    <n v="0"/>
    <n v="0"/>
  </r>
  <r>
    <x v="151"/>
    <x v="9"/>
    <n v="1"/>
    <n v="14"/>
    <n v="2"/>
    <n v="2"/>
    <s v="1*"/>
    <s v="-"/>
    <n v="2"/>
    <n v="50"/>
    <n v="0"/>
    <n v="0"/>
    <n v="0"/>
    <n v="0"/>
  </r>
  <r>
    <x v="152"/>
    <x v="6"/>
    <n v="1"/>
    <n v="8"/>
    <n v="2"/>
    <n v="1"/>
    <s v="1*"/>
    <s v="1.00"/>
    <n v="3"/>
    <n v="33.33"/>
    <n v="0"/>
    <n v="0"/>
    <n v="0"/>
    <n v="0"/>
  </r>
  <r>
    <x v="153"/>
    <x v="6"/>
    <n v="1"/>
    <n v="1"/>
    <n v="1"/>
    <n v="0"/>
    <s v="1"/>
    <s v="1.00"/>
    <n v="3"/>
    <n v="33.33"/>
    <n v="0"/>
    <n v="0"/>
    <n v="0"/>
    <n v="0"/>
  </r>
  <r>
    <x v="154"/>
    <x v="3"/>
    <n v="1"/>
    <n v="13"/>
    <n v="2"/>
    <n v="1"/>
    <s v="1"/>
    <s v="1.00"/>
    <n v="3"/>
    <n v="33.33"/>
    <n v="0"/>
    <n v="0"/>
    <n v="0"/>
    <n v="0"/>
  </r>
  <r>
    <x v="155"/>
    <x v="2"/>
    <n v="1"/>
    <n v="1"/>
    <n v="1"/>
    <n v="0"/>
    <s v="1"/>
    <s v="1.00"/>
    <n v="4"/>
    <n v="25"/>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44F14-FB67-44CD-82F0-A67334CE3C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4">
    <pivotField axis="axisRow" showAll="0" measureFilter="1" sortType="descending">
      <items count="157">
        <item x="60"/>
        <item x="88"/>
        <item x="14"/>
        <item x="29"/>
        <item x="13"/>
        <item x="18"/>
        <item x="129"/>
        <item x="139"/>
        <item x="59"/>
        <item x="32"/>
        <item x="45"/>
        <item x="110"/>
        <item x="147"/>
        <item x="51"/>
        <item x="113"/>
        <item x="103"/>
        <item x="37"/>
        <item x="27"/>
        <item x="43"/>
        <item x="89"/>
        <item x="112"/>
        <item x="94"/>
        <item x="63"/>
        <item x="98"/>
        <item x="100"/>
        <item x="41"/>
        <item x="62"/>
        <item x="47"/>
        <item x="26"/>
        <item x="154"/>
        <item x="153"/>
        <item x="118"/>
        <item x="52"/>
        <item x="144"/>
        <item x="108"/>
        <item x="93"/>
        <item x="48"/>
        <item x="115"/>
        <item x="104"/>
        <item x="90"/>
        <item x="11"/>
        <item x="23"/>
        <item x="86"/>
        <item x="91"/>
        <item x="109"/>
        <item x="38"/>
        <item x="87"/>
        <item x="80"/>
        <item x="9"/>
        <item x="35"/>
        <item x="8"/>
        <item x="120"/>
        <item x="79"/>
        <item x="150"/>
        <item x="53"/>
        <item x="151"/>
        <item x="73"/>
        <item x="107"/>
        <item x="142"/>
        <item x="105"/>
        <item x="124"/>
        <item x="72"/>
        <item x="137"/>
        <item x="140"/>
        <item x="119"/>
        <item x="78"/>
        <item x="155"/>
        <item x="81"/>
        <item x="61"/>
        <item x="111"/>
        <item x="77"/>
        <item x="4"/>
        <item x="97"/>
        <item x="131"/>
        <item x="136"/>
        <item x="117"/>
        <item x="141"/>
        <item x="101"/>
        <item x="152"/>
        <item x="54"/>
        <item x="25"/>
        <item x="40"/>
        <item x="21"/>
        <item x="10"/>
        <item x="57"/>
        <item x="49"/>
        <item x="128"/>
        <item x="76"/>
        <item x="16"/>
        <item x="7"/>
        <item x="135"/>
        <item x="12"/>
        <item x="64"/>
        <item x="55"/>
        <item x="82"/>
        <item x="75"/>
        <item x="92"/>
        <item x="125"/>
        <item x="28"/>
        <item x="95"/>
        <item x="96"/>
        <item x="114"/>
        <item x="99"/>
        <item x="30"/>
        <item x="50"/>
        <item x="36"/>
        <item x="17"/>
        <item x="132"/>
        <item x="15"/>
        <item x="84"/>
        <item x="133"/>
        <item x="68"/>
        <item x="19"/>
        <item x="134"/>
        <item x="0"/>
        <item x="71"/>
        <item x="69"/>
        <item x="130"/>
        <item x="34"/>
        <item x="102"/>
        <item x="121"/>
        <item x="58"/>
        <item x="83"/>
        <item x="106"/>
        <item x="24"/>
        <item x="33"/>
        <item x="44"/>
        <item x="22"/>
        <item x="5"/>
        <item x="74"/>
        <item x="3"/>
        <item x="143"/>
        <item x="146"/>
        <item x="42"/>
        <item x="1"/>
        <item x="127"/>
        <item x="56"/>
        <item x="20"/>
        <item x="145"/>
        <item x="31"/>
        <item x="126"/>
        <item x="85"/>
        <item x="149"/>
        <item x="39"/>
        <item x="148"/>
        <item x="66"/>
        <item x="70"/>
        <item x="65"/>
        <item x="2"/>
        <item x="123"/>
        <item x="67"/>
        <item x="122"/>
        <item x="46"/>
        <item x="116"/>
        <item x="138"/>
        <item x="6"/>
        <item t="default"/>
      </items>
      <autoSortScope>
        <pivotArea dataOnly="0" outline="0" fieldPosition="0">
          <references count="1">
            <reference field="4294967294" count="1" selected="0">
              <x v="0"/>
            </reference>
          </references>
        </pivotArea>
      </autoSortScope>
    </pivotField>
    <pivotField showAll="0">
      <items count="11">
        <item x="9"/>
        <item x="6"/>
        <item x="0"/>
        <item x="8"/>
        <item x="3"/>
        <item x="1"/>
        <item x="4"/>
        <item x="2"/>
        <item x="5"/>
        <item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14"/>
    </i>
    <i>
      <x v="134"/>
    </i>
    <i>
      <x v="148"/>
    </i>
    <i>
      <x v="130"/>
    </i>
    <i>
      <x v="71"/>
    </i>
    <i>
      <x v="128"/>
    </i>
    <i>
      <x v="155"/>
    </i>
    <i>
      <x v="89"/>
    </i>
    <i>
      <x v="50"/>
    </i>
    <i>
      <x v="48"/>
    </i>
    <i t="grand">
      <x/>
    </i>
  </rowItems>
  <colItems count="1">
    <i/>
  </colItems>
  <dataFields count="1">
    <dataField name="Sum of Runs" fld="2"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7F3B6-38CA-47E7-B45B-3E5F6EC16B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4">
    <pivotField showAll="0"/>
    <pivotField axis="axisRow" showAll="0">
      <items count="11">
        <item x="9"/>
        <item x="6"/>
        <item x="0"/>
        <item x="8"/>
        <item x="3"/>
        <item x="1"/>
        <item x="4"/>
        <item x="2"/>
        <item x="5"/>
        <item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Runs" fld="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138E0-49BB-4F18-80A7-CBF3653B3B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4">
    <pivotField axis="axisRow" showAll="0" measureFilter="1">
      <items count="157">
        <item x="60"/>
        <item x="88"/>
        <item x="14"/>
        <item x="29"/>
        <item x="13"/>
        <item x="18"/>
        <item x="129"/>
        <item x="139"/>
        <item x="59"/>
        <item x="32"/>
        <item x="45"/>
        <item x="110"/>
        <item x="147"/>
        <item x="51"/>
        <item x="113"/>
        <item x="103"/>
        <item x="37"/>
        <item x="27"/>
        <item x="43"/>
        <item x="89"/>
        <item x="112"/>
        <item x="94"/>
        <item x="63"/>
        <item x="98"/>
        <item x="100"/>
        <item x="41"/>
        <item x="62"/>
        <item x="47"/>
        <item x="26"/>
        <item x="154"/>
        <item x="153"/>
        <item x="118"/>
        <item x="52"/>
        <item x="144"/>
        <item x="108"/>
        <item x="93"/>
        <item x="48"/>
        <item x="115"/>
        <item x="104"/>
        <item x="90"/>
        <item x="11"/>
        <item x="23"/>
        <item x="86"/>
        <item x="91"/>
        <item x="109"/>
        <item x="38"/>
        <item x="87"/>
        <item x="80"/>
        <item x="9"/>
        <item x="35"/>
        <item x="8"/>
        <item x="120"/>
        <item x="79"/>
        <item x="150"/>
        <item x="53"/>
        <item x="151"/>
        <item x="73"/>
        <item x="107"/>
        <item x="142"/>
        <item x="105"/>
        <item x="124"/>
        <item x="72"/>
        <item x="137"/>
        <item x="140"/>
        <item x="119"/>
        <item x="78"/>
        <item x="155"/>
        <item x="81"/>
        <item x="61"/>
        <item x="111"/>
        <item x="77"/>
        <item x="4"/>
        <item x="97"/>
        <item x="131"/>
        <item x="136"/>
        <item x="117"/>
        <item x="141"/>
        <item x="101"/>
        <item x="152"/>
        <item x="54"/>
        <item x="25"/>
        <item x="40"/>
        <item x="21"/>
        <item x="10"/>
        <item x="57"/>
        <item x="49"/>
        <item x="128"/>
        <item x="76"/>
        <item x="16"/>
        <item x="7"/>
        <item x="135"/>
        <item x="12"/>
        <item x="64"/>
        <item x="55"/>
        <item x="82"/>
        <item x="75"/>
        <item x="92"/>
        <item x="125"/>
        <item x="28"/>
        <item x="95"/>
        <item x="96"/>
        <item x="114"/>
        <item x="99"/>
        <item x="30"/>
        <item x="50"/>
        <item x="36"/>
        <item x="17"/>
        <item x="132"/>
        <item x="15"/>
        <item x="84"/>
        <item x="133"/>
        <item x="68"/>
        <item x="19"/>
        <item x="134"/>
        <item x="0"/>
        <item x="71"/>
        <item x="69"/>
        <item x="130"/>
        <item x="34"/>
        <item x="102"/>
        <item x="121"/>
        <item x="58"/>
        <item x="83"/>
        <item x="106"/>
        <item x="24"/>
        <item x="33"/>
        <item x="44"/>
        <item x="22"/>
        <item x="5"/>
        <item x="74"/>
        <item x="3"/>
        <item x="143"/>
        <item x="146"/>
        <item x="42"/>
        <item x="1"/>
        <item x="127"/>
        <item x="56"/>
        <item x="20"/>
        <item x="145"/>
        <item x="31"/>
        <item x="126"/>
        <item x="85"/>
        <item x="149"/>
        <item x="39"/>
        <item x="148"/>
        <item x="66"/>
        <item x="70"/>
        <item x="65"/>
        <item x="2"/>
        <item x="123"/>
        <item x="67"/>
        <item x="122"/>
        <item x="46"/>
        <item x="116"/>
        <item x="138"/>
        <item x="6"/>
        <item t="default"/>
      </items>
    </pivotField>
    <pivotField showAll="0">
      <items count="11">
        <item x="9"/>
        <item x="6"/>
        <item x="0"/>
        <item x="8"/>
        <item x="3"/>
        <item x="1"/>
        <item x="4"/>
        <item x="2"/>
        <item x="5"/>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1">
    <i>
      <x v="6"/>
    </i>
    <i>
      <x v="44"/>
    </i>
    <i>
      <x v="59"/>
    </i>
    <i>
      <x v="60"/>
    </i>
    <i>
      <x v="62"/>
    </i>
    <i>
      <x v="83"/>
    </i>
    <i>
      <x v="97"/>
    </i>
    <i>
      <x v="109"/>
    </i>
    <i>
      <x v="141"/>
    </i>
    <i>
      <x v="143"/>
    </i>
    <i t="grand">
      <x/>
    </i>
  </rowItems>
  <colItems count="1">
    <i/>
  </colItems>
  <dataFields count="1">
    <dataField name="Sum of SR" fld="9" baseField="0" baseItem="0"/>
  </dataFields>
  <chartFormats count="4">
    <chartFormat chart="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0C2D5-67AC-4096-B537-2041DA5E20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4" firstHeaderRow="0" firstDataRow="1" firstDataCol="1"/>
  <pivotFields count="14">
    <pivotField axis="axisRow" showAll="0" measureFilter="1" sortType="descending">
      <items count="157">
        <item x="60"/>
        <item x="88"/>
        <item x="14"/>
        <item x="29"/>
        <item x="13"/>
        <item x="18"/>
        <item x="129"/>
        <item x="139"/>
        <item x="59"/>
        <item x="32"/>
        <item x="45"/>
        <item x="110"/>
        <item x="147"/>
        <item x="51"/>
        <item x="113"/>
        <item x="103"/>
        <item x="37"/>
        <item x="27"/>
        <item x="43"/>
        <item x="89"/>
        <item x="112"/>
        <item x="94"/>
        <item x="63"/>
        <item x="98"/>
        <item x="100"/>
        <item x="41"/>
        <item x="62"/>
        <item x="47"/>
        <item x="26"/>
        <item x="154"/>
        <item x="153"/>
        <item x="118"/>
        <item x="52"/>
        <item x="144"/>
        <item x="108"/>
        <item x="93"/>
        <item x="48"/>
        <item x="115"/>
        <item x="104"/>
        <item x="90"/>
        <item x="11"/>
        <item x="23"/>
        <item x="86"/>
        <item x="91"/>
        <item x="109"/>
        <item x="38"/>
        <item x="87"/>
        <item x="80"/>
        <item x="9"/>
        <item x="35"/>
        <item x="8"/>
        <item x="120"/>
        <item x="79"/>
        <item x="150"/>
        <item x="53"/>
        <item x="151"/>
        <item x="73"/>
        <item x="107"/>
        <item x="142"/>
        <item x="105"/>
        <item x="124"/>
        <item x="72"/>
        <item x="137"/>
        <item x="140"/>
        <item x="119"/>
        <item x="78"/>
        <item x="155"/>
        <item x="81"/>
        <item x="61"/>
        <item x="111"/>
        <item x="77"/>
        <item x="4"/>
        <item x="97"/>
        <item x="131"/>
        <item x="136"/>
        <item x="117"/>
        <item x="141"/>
        <item x="101"/>
        <item x="152"/>
        <item x="54"/>
        <item x="25"/>
        <item x="40"/>
        <item x="21"/>
        <item x="10"/>
        <item x="57"/>
        <item x="49"/>
        <item x="128"/>
        <item x="76"/>
        <item x="16"/>
        <item x="7"/>
        <item x="135"/>
        <item x="12"/>
        <item x="64"/>
        <item x="55"/>
        <item x="82"/>
        <item x="75"/>
        <item x="92"/>
        <item x="125"/>
        <item x="28"/>
        <item x="95"/>
        <item x="96"/>
        <item x="114"/>
        <item x="99"/>
        <item x="30"/>
        <item x="50"/>
        <item x="36"/>
        <item x="17"/>
        <item x="132"/>
        <item x="15"/>
        <item x="84"/>
        <item x="133"/>
        <item x="68"/>
        <item x="19"/>
        <item x="134"/>
        <item x="0"/>
        <item x="71"/>
        <item x="69"/>
        <item x="130"/>
        <item x="34"/>
        <item x="102"/>
        <item x="121"/>
        <item x="58"/>
        <item x="83"/>
        <item x="106"/>
        <item x="24"/>
        <item x="33"/>
        <item x="44"/>
        <item x="22"/>
        <item x="5"/>
        <item x="74"/>
        <item x="3"/>
        <item x="143"/>
        <item x="146"/>
        <item x="42"/>
        <item x="1"/>
        <item x="127"/>
        <item x="56"/>
        <item x="20"/>
        <item x="145"/>
        <item x="31"/>
        <item x="126"/>
        <item x="85"/>
        <item x="149"/>
        <item x="39"/>
        <item x="148"/>
        <item x="66"/>
        <item x="70"/>
        <item x="65"/>
        <item x="2"/>
        <item x="123"/>
        <item x="67"/>
        <item x="122"/>
        <item x="46"/>
        <item x="116"/>
        <item x="138"/>
        <item x="6"/>
        <item t="default"/>
      </items>
      <autoSortScope>
        <pivotArea dataOnly="0" outline="0" fieldPosition="0">
          <references count="1">
            <reference field="4294967294" count="1" selected="0">
              <x v="1"/>
            </reference>
          </references>
        </pivotArea>
      </autoSortScope>
    </pivotField>
    <pivotField showAll="0">
      <items count="11">
        <item x="9"/>
        <item x="6"/>
        <item x="0"/>
        <item x="8"/>
        <item x="3"/>
        <item x="1"/>
        <item x="4"/>
        <item x="2"/>
        <item x="5"/>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134"/>
    </i>
    <i>
      <x v="71"/>
    </i>
    <i>
      <x v="89"/>
    </i>
    <i>
      <x v="155"/>
    </i>
    <i>
      <x v="91"/>
    </i>
    <i>
      <x v="48"/>
    </i>
    <i>
      <x v="130"/>
    </i>
    <i>
      <x v="114"/>
    </i>
    <i>
      <x v="50"/>
    </i>
    <i>
      <x v="148"/>
    </i>
    <i t="grand">
      <x/>
    </i>
  </rowItems>
  <colFields count="1">
    <field x="-2"/>
  </colFields>
  <colItems count="2">
    <i>
      <x/>
    </i>
    <i i="1">
      <x v="1"/>
    </i>
  </colItems>
  <dataFields count="2">
    <dataField name="Sum of 4s" fld="12" baseField="0" baseItem="6"/>
    <dataField name="Sum of 6s" fld="13"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2C7583-448D-44F9-96FD-119BDA640E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showAll="0"/>
    <pivotField axis="axisRow" showAll="0">
      <items count="11">
        <item x="9"/>
        <item x="6"/>
        <item x="0"/>
        <item x="8"/>
        <item x="3"/>
        <item x="1"/>
        <item x="4"/>
        <item x="2"/>
        <item x="5"/>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100s" fld="10" baseField="0" baseItem="0"/>
  </dataFields>
  <chartFormats count="22">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2"/>
          </reference>
        </references>
      </pivotArea>
    </chartFormat>
    <chartFormat chart="4" format="17">
      <pivotArea type="data" outline="0" fieldPosition="0">
        <references count="2">
          <reference field="4294967294" count="1" selected="0">
            <x v="0"/>
          </reference>
          <reference field="1" count="1" selected="0">
            <x v="3"/>
          </reference>
        </references>
      </pivotArea>
    </chartFormat>
    <chartFormat chart="4" format="18">
      <pivotArea type="data" outline="0" fieldPosition="0">
        <references count="2">
          <reference field="4294967294" count="1" selected="0">
            <x v="0"/>
          </reference>
          <reference field="1" count="1" selected="0">
            <x v="4"/>
          </reference>
        </references>
      </pivotArea>
    </chartFormat>
    <chartFormat chart="4" format="19">
      <pivotArea type="data" outline="0" fieldPosition="0">
        <references count="2">
          <reference field="4294967294" count="1" selected="0">
            <x v="0"/>
          </reference>
          <reference field="1" count="1" selected="0">
            <x v="5"/>
          </reference>
        </references>
      </pivotArea>
    </chartFormat>
    <chartFormat chart="4" format="20">
      <pivotArea type="data" outline="0" fieldPosition="0">
        <references count="2">
          <reference field="4294967294" count="1" selected="0">
            <x v="0"/>
          </reference>
          <reference field="1" count="1" selected="0">
            <x v="6"/>
          </reference>
        </references>
      </pivotArea>
    </chartFormat>
    <chartFormat chart="4" format="21">
      <pivotArea type="data" outline="0" fieldPosition="0">
        <references count="2">
          <reference field="4294967294" count="1" selected="0">
            <x v="0"/>
          </reference>
          <reference field="1" count="1" selected="0">
            <x v="7"/>
          </reference>
        </references>
      </pivotArea>
    </chartFormat>
    <chartFormat chart="4" format="22">
      <pivotArea type="data" outline="0" fieldPosition="0">
        <references count="2">
          <reference field="4294967294" count="1" selected="0">
            <x v="0"/>
          </reference>
          <reference field="1" count="1" selected="0">
            <x v="8"/>
          </reference>
        </references>
      </pivotArea>
    </chartFormat>
    <chartFormat chart="4" format="23">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BBCF17-F94B-4BF2-9072-0994E1AA49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33" firstHeaderRow="1" firstDataRow="1" firstDataCol="1"/>
  <pivotFields count="14">
    <pivotField showAll="0"/>
    <pivotField axis="axisRow" showAll="0">
      <items count="11">
        <item x="9"/>
        <item x="6"/>
        <item x="0"/>
        <item x="8"/>
        <item x="3"/>
        <item x="1"/>
        <item x="4"/>
        <item x="2"/>
        <item x="5"/>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50s" fld="11" baseField="0" baseItem="0"/>
  </dataFields>
  <chartFormats count="23">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2">
          <reference field="4294967294" count="1" selected="0">
            <x v="0"/>
          </reference>
          <reference field="1" count="1" selected="0">
            <x v="3"/>
          </reference>
        </references>
      </pivotArea>
    </chartFormat>
    <chartFormat chart="6" format="17">
      <pivotArea type="data" outline="0" fieldPosition="0">
        <references count="2">
          <reference field="4294967294" count="1" selected="0">
            <x v="0"/>
          </reference>
          <reference field="1" count="1" selected="0">
            <x v="4"/>
          </reference>
        </references>
      </pivotArea>
    </chartFormat>
    <chartFormat chart="6" format="18">
      <pivotArea type="data" outline="0" fieldPosition="0">
        <references count="2">
          <reference field="4294967294" count="1" selected="0">
            <x v="0"/>
          </reference>
          <reference field="1" count="1" selected="0">
            <x v="5"/>
          </reference>
        </references>
      </pivotArea>
    </chartFormat>
    <chartFormat chart="6" format="19">
      <pivotArea type="data" outline="0" fieldPosition="0">
        <references count="2">
          <reference field="4294967294" count="1" selected="0">
            <x v="0"/>
          </reference>
          <reference field="1" count="1" selected="0">
            <x v="6"/>
          </reference>
        </references>
      </pivotArea>
    </chartFormat>
    <chartFormat chart="6" format="20">
      <pivotArea type="data" outline="0" fieldPosition="0">
        <references count="2">
          <reference field="4294967294" count="1" selected="0">
            <x v="0"/>
          </reference>
          <reference field="1" count="1" selected="0">
            <x v="7"/>
          </reference>
        </references>
      </pivotArea>
    </chartFormat>
    <chartFormat chart="6" format="21">
      <pivotArea type="data" outline="0" fieldPosition="0">
        <references count="2">
          <reference field="4294967294" count="1" selected="0">
            <x v="0"/>
          </reference>
          <reference field="1" count="1" selected="0">
            <x v="8"/>
          </reference>
        </references>
      </pivotArea>
    </chartFormat>
    <chartFormat chart="6" format="22">
      <pivotArea type="data" outline="0" fieldPosition="0">
        <references count="2">
          <reference field="4294967294" count="1" selected="0">
            <x v="0"/>
          </reference>
          <reference field="1" count="1" selected="0">
            <x v="9"/>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18DB2-745F-4C32-8F0D-FA6124E5C0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157">
        <item x="60"/>
        <item x="88"/>
        <item x="14"/>
        <item x="29"/>
        <item x="13"/>
        <item x="18"/>
        <item x="129"/>
        <item x="139"/>
        <item x="59"/>
        <item x="32"/>
        <item x="45"/>
        <item x="110"/>
        <item x="147"/>
        <item x="51"/>
        <item x="113"/>
        <item x="103"/>
        <item x="37"/>
        <item x="27"/>
        <item x="43"/>
        <item x="89"/>
        <item x="112"/>
        <item x="94"/>
        <item x="63"/>
        <item x="98"/>
        <item x="100"/>
        <item x="41"/>
        <item x="62"/>
        <item x="47"/>
        <item x="26"/>
        <item x="154"/>
        <item x="153"/>
        <item x="118"/>
        <item x="52"/>
        <item x="144"/>
        <item x="108"/>
        <item x="93"/>
        <item x="48"/>
        <item x="115"/>
        <item x="104"/>
        <item x="90"/>
        <item x="11"/>
        <item x="23"/>
        <item x="86"/>
        <item x="91"/>
        <item x="109"/>
        <item x="38"/>
        <item x="87"/>
        <item x="80"/>
        <item x="9"/>
        <item x="35"/>
        <item x="8"/>
        <item x="120"/>
        <item x="79"/>
        <item x="150"/>
        <item x="53"/>
        <item x="151"/>
        <item x="73"/>
        <item x="107"/>
        <item x="142"/>
        <item x="105"/>
        <item x="124"/>
        <item x="72"/>
        <item x="137"/>
        <item x="140"/>
        <item x="119"/>
        <item x="78"/>
        <item x="155"/>
        <item x="81"/>
        <item x="61"/>
        <item x="111"/>
        <item x="77"/>
        <item x="4"/>
        <item x="97"/>
        <item x="131"/>
        <item x="136"/>
        <item x="117"/>
        <item x="141"/>
        <item x="101"/>
        <item x="152"/>
        <item x="54"/>
        <item x="25"/>
        <item x="40"/>
        <item x="21"/>
        <item x="10"/>
        <item x="57"/>
        <item x="49"/>
        <item x="128"/>
        <item x="76"/>
        <item x="16"/>
        <item x="7"/>
        <item x="135"/>
        <item x="12"/>
        <item x="64"/>
        <item x="55"/>
        <item x="82"/>
        <item x="75"/>
        <item x="92"/>
        <item x="125"/>
        <item x="28"/>
        <item x="95"/>
        <item x="96"/>
        <item x="114"/>
        <item x="99"/>
        <item x="30"/>
        <item x="50"/>
        <item x="36"/>
        <item x="17"/>
        <item x="132"/>
        <item x="15"/>
        <item x="84"/>
        <item x="133"/>
        <item x="68"/>
        <item x="19"/>
        <item x="134"/>
        <item x="0"/>
        <item x="71"/>
        <item x="69"/>
        <item x="130"/>
        <item x="34"/>
        <item x="102"/>
        <item x="121"/>
        <item x="58"/>
        <item x="83"/>
        <item x="106"/>
        <item x="24"/>
        <item x="33"/>
        <item x="44"/>
        <item x="22"/>
        <item x="5"/>
        <item x="74"/>
        <item x="3"/>
        <item x="143"/>
        <item x="146"/>
        <item x="42"/>
        <item x="1"/>
        <item x="127"/>
        <item x="56"/>
        <item x="20"/>
        <item x="145"/>
        <item x="31"/>
        <item x="126"/>
        <item x="85"/>
        <item x="149"/>
        <item x="39"/>
        <item x="148"/>
        <item x="66"/>
        <item x="70"/>
        <item x="65"/>
        <item x="2"/>
        <item x="123"/>
        <item x="67"/>
        <item x="122"/>
        <item x="46"/>
        <item x="116"/>
        <item x="138"/>
        <item x="6"/>
        <item t="default"/>
      </items>
    </pivotField>
    <pivotField showAll="0">
      <items count="11">
        <item x="9"/>
        <item x="6"/>
        <item x="0"/>
        <item x="8"/>
        <item x="3"/>
        <item x="1"/>
        <item x="4"/>
        <item x="2"/>
        <item x="5"/>
        <item x="7"/>
        <item t="default"/>
      </items>
    </pivotField>
    <pivotField dataField="1" showAll="0"/>
    <pivotField dataField="1" showAll="0"/>
    <pivotField showAll="0"/>
    <pivotField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Runs" fld="2" baseField="0" baseItem="0"/>
    <dataField name="Sum of Matches" fld="3" baseField="0" baseItem="0"/>
    <dataField name="Average of SR" fld="9" subtotal="average" baseField="0" baseItem="1" numFmtId="164"/>
    <dataField name="Sum of 100s" fld="10" baseField="0" baseItem="0"/>
  </dataFields>
  <formats count="1">
    <format dxfId="2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9E2C62-4F2D-4067-873A-CED6D8C5CC15}" autoFormatId="16" applyNumberFormats="0" applyBorderFormats="0" applyFontFormats="0" applyPatternFormats="0" applyAlignmentFormats="0" applyWidthHeightFormats="0">
  <queryTableRefresh nextId="15">
    <queryTableFields count="14">
      <queryTableField id="1" name="Player Name" tableColumnId="1"/>
      <queryTableField id="2" name="Team" tableColumnId="2"/>
      <queryTableField id="3" name="Runs" tableColumnId="3"/>
      <queryTableField id="4" name="Matches" tableColumnId="4"/>
      <queryTableField id="5" name="Inn" tableColumnId="5"/>
      <queryTableField id="6" name="No" tableColumnId="6"/>
      <queryTableField id="7" name="HS" tableColumnId="7"/>
      <queryTableField id="8" name="AVG" tableColumnId="8"/>
      <queryTableField id="9" name="BF" tableColumnId="9"/>
      <queryTableField id="10" name="SR" tableColumnId="10"/>
      <queryTableField id="11" name="100s" tableColumnId="11"/>
      <queryTableField id="12" name="50s" tableColumnId="12"/>
      <queryTableField id="13" name="4s" tableColumnId="13"/>
      <queryTableField id="14" name="6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1CFA45F4-E261-4882-9671-5D75D1052C20}" sourceName="Player Name">
  <pivotTables>
    <pivotTable tabId="8" name="PivotTable2"/>
  </pivotTables>
  <data>
    <tabular pivotCacheId="1347320799">
      <items count="156">
        <i x="60" s="1"/>
        <i x="88" s="1"/>
        <i x="14" s="1"/>
        <i x="29" s="1"/>
        <i x="13" s="1"/>
        <i x="18" s="1"/>
        <i x="129" s="1"/>
        <i x="139" s="1"/>
        <i x="59" s="1"/>
        <i x="32" s="1"/>
        <i x="45" s="1"/>
        <i x="110" s="1"/>
        <i x="147" s="1"/>
        <i x="51" s="1"/>
        <i x="113" s="1"/>
        <i x="103" s="1"/>
        <i x="37" s="1"/>
        <i x="27" s="1"/>
        <i x="43" s="1"/>
        <i x="89" s="1"/>
        <i x="112" s="1"/>
        <i x="94" s="1"/>
        <i x="63" s="1"/>
        <i x="98" s="1"/>
        <i x="100" s="1"/>
        <i x="41" s="1"/>
        <i x="62" s="1"/>
        <i x="47" s="1"/>
        <i x="26" s="1"/>
        <i x="154" s="1"/>
        <i x="153" s="1"/>
        <i x="118" s="1"/>
        <i x="52" s="1"/>
        <i x="144" s="1"/>
        <i x="108" s="1"/>
        <i x="93" s="1"/>
        <i x="48" s="1"/>
        <i x="115" s="1"/>
        <i x="104" s="1"/>
        <i x="90" s="1"/>
        <i x="11" s="1"/>
        <i x="23" s="1"/>
        <i x="86" s="1"/>
        <i x="91" s="1"/>
        <i x="109" s="1"/>
        <i x="38" s="1"/>
        <i x="87" s="1"/>
        <i x="80" s="1"/>
        <i x="9" s="1"/>
        <i x="35" s="1"/>
        <i x="8" s="1"/>
        <i x="120" s="1"/>
        <i x="79" s="1"/>
        <i x="150" s="1"/>
        <i x="53" s="1"/>
        <i x="151" s="1"/>
        <i x="73" s="1"/>
        <i x="107" s="1"/>
        <i x="142" s="1"/>
        <i x="105" s="1"/>
        <i x="124" s="1"/>
        <i x="72" s="1"/>
        <i x="137" s="1"/>
        <i x="140" s="1"/>
        <i x="119" s="1"/>
        <i x="78" s="1"/>
        <i x="155" s="1"/>
        <i x="81" s="1"/>
        <i x="61" s="1"/>
        <i x="111" s="1"/>
        <i x="77" s="1"/>
        <i x="4" s="1"/>
        <i x="97" s="1"/>
        <i x="131" s="1"/>
        <i x="136" s="1"/>
        <i x="117" s="1"/>
        <i x="141" s="1"/>
        <i x="101" s="1"/>
        <i x="152" s="1"/>
        <i x="54" s="1"/>
        <i x="25" s="1"/>
        <i x="40" s="1"/>
        <i x="21" s="1"/>
        <i x="10" s="1"/>
        <i x="57" s="1"/>
        <i x="49" s="1"/>
        <i x="128" s="1"/>
        <i x="76" s="1"/>
        <i x="16" s="1"/>
        <i x="7" s="1"/>
        <i x="135" s="1"/>
        <i x="12" s="1"/>
        <i x="64" s="1"/>
        <i x="55" s="1"/>
        <i x="82" s="1"/>
        <i x="75" s="1"/>
        <i x="92" s="1"/>
        <i x="125" s="1"/>
        <i x="28" s="1"/>
        <i x="95" s="1"/>
        <i x="96" s="1"/>
        <i x="114" s="1"/>
        <i x="99" s="1"/>
        <i x="30" s="1"/>
        <i x="50" s="1"/>
        <i x="36" s="1"/>
        <i x="17" s="1"/>
        <i x="132" s="1"/>
        <i x="15" s="1"/>
        <i x="84" s="1"/>
        <i x="133" s="1"/>
        <i x="68" s="1"/>
        <i x="19" s="1"/>
        <i x="134" s="1"/>
        <i x="0" s="1"/>
        <i x="71" s="1"/>
        <i x="69" s="1"/>
        <i x="130" s="1"/>
        <i x="34" s="1"/>
        <i x="102" s="1"/>
        <i x="121" s="1"/>
        <i x="58" s="1"/>
        <i x="83" s="1"/>
        <i x="106" s="1"/>
        <i x="24" s="1"/>
        <i x="33" s="1"/>
        <i x="44" s="1"/>
        <i x="22" s="1"/>
        <i x="5" s="1"/>
        <i x="74" s="1"/>
        <i x="3" s="1"/>
        <i x="143" s="1"/>
        <i x="146" s="1"/>
        <i x="42" s="1"/>
        <i x="1" s="1"/>
        <i x="127" s="1"/>
        <i x="56" s="1"/>
        <i x="20" s="1"/>
        <i x="145" s="1"/>
        <i x="31" s="1"/>
        <i x="126" s="1"/>
        <i x="85" s="1"/>
        <i x="149" s="1"/>
        <i x="39" s="1"/>
        <i x="148" s="1"/>
        <i x="66" s="1"/>
        <i x="70" s="1"/>
        <i x="65" s="1"/>
        <i x="2" s="1"/>
        <i x="123" s="1"/>
        <i x="67" s="1"/>
        <i x="122" s="1"/>
        <i x="46" s="1"/>
        <i x="116" s="1"/>
        <i x="13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A7B035F1-F069-4298-BC93-E4235D04B0FB}" sourceName="Team">
  <pivotTables>
    <pivotTable tabId="8" name="PivotTable2"/>
    <pivotTable tabId="6" name="PivotTable4"/>
    <pivotTable tabId="4" name="PivotTable2"/>
    <pivotTable tabId="5" name="PivotTable3"/>
    <pivotTable tabId="7" name="PivotTable1"/>
    <pivotTable tabId="7" name="PivotTable5"/>
    <pivotTable tabId="3" name="PivotTable1"/>
  </pivotTables>
  <data>
    <tabular pivotCacheId="1347320799" crossFilter="showItemsWithNoData">
      <items count="10">
        <i x="9" s="1"/>
        <i x="6" s="1"/>
        <i x="0" s="1"/>
        <i x="8" s="1"/>
        <i x="3" s="1"/>
        <i x="1" s="1"/>
        <i x="4" s="1"/>
        <i x="2"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Name" xr10:uid="{580C3B4A-15CF-4375-AB96-FAD0FB5DFA3E}" cache="Slicer_Player_Name" caption="Player Name" style="SlicerStyleLight2" rowHeight="234950"/>
  <slicer name="Team" xr10:uid="{C2D532DD-B346-43D9-9049-155E4899A00C}" cache="Slicer_Team" caption="Team"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Name 1" xr10:uid="{EB39BA53-3ED7-4A87-9782-C1E38ED4E265}" cache="Slicer_Player_Name" caption="Player Name" startItem="67" style="SlicerStyleDark1" rowHeight="234950"/>
  <slicer name="TEAMS" xr10:uid="{DDA7855A-0DA7-4D55-AC19-F70F2049A9E1}" cache="Slicer_Team" caption="                       TEAMS" style="SlicerStyleLight5"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D18EE5-5A20-4002-BFE9-B2CAE5A4575C}" name="IPL2025Batters" displayName="IPL2025Batters" ref="A1:N157" tableType="queryTable" totalsRowShown="0">
  <autoFilter ref="A1:N157" xr:uid="{8DD18EE5-5A20-4002-BFE9-B2CAE5A4575C}"/>
  <tableColumns count="14">
    <tableColumn id="1" xr3:uid="{F8D076BE-AAD3-4DB3-8DA8-D867CB34EA62}" uniqueName="1" name="Player Name" queryTableFieldId="1" dataDxfId="23"/>
    <tableColumn id="2" xr3:uid="{D5675F60-7A5B-4416-9655-49EE1D9B37DB}" uniqueName="2" name="Team" queryTableFieldId="2" dataDxfId="22"/>
    <tableColumn id="3" xr3:uid="{E7DB8BE4-8427-4461-8E26-ADDA6197A83D}" uniqueName="3" name="Runs" queryTableFieldId="3"/>
    <tableColumn id="4" xr3:uid="{65B2DB37-3C3A-43F1-A8A5-2DF944BC2D19}" uniqueName="4" name="Matches" queryTableFieldId="4"/>
    <tableColumn id="5" xr3:uid="{293A7D29-5236-4F41-9C4F-FEC9E6492B52}" uniqueName="5" name="Inn" queryTableFieldId="5"/>
    <tableColumn id="6" xr3:uid="{CD1C6BB5-60B9-44E2-AC9A-74B6B8E8D153}" uniqueName="6" name="No" queryTableFieldId="6"/>
    <tableColumn id="7" xr3:uid="{E151F0E6-14FA-4CA5-B97E-5DBD2C7BD72B}" uniqueName="7" name="HS" queryTableFieldId="7" dataDxfId="21"/>
    <tableColumn id="8" xr3:uid="{7223AAAA-E1D6-40CF-92E0-DB9559FF8A0E}" uniqueName="8" name="AVG" queryTableFieldId="8" dataDxfId="20"/>
    <tableColumn id="9" xr3:uid="{BE325D15-4B45-47AB-BE3A-006CB9E64FD5}" uniqueName="9" name="BF" queryTableFieldId="9"/>
    <tableColumn id="10" xr3:uid="{18B17901-492B-4252-B0CC-674BFA13D608}" uniqueName="10" name="SR" queryTableFieldId="10"/>
    <tableColumn id="11" xr3:uid="{3752EE8B-6FC1-4125-9444-255365AF49A0}" uniqueName="11" name="100s" queryTableFieldId="11"/>
    <tableColumn id="12" xr3:uid="{DCC59426-E8D8-4D16-AECE-F0E744302B07}" uniqueName="12" name="50s" queryTableFieldId="12"/>
    <tableColumn id="13" xr3:uid="{80BC30B7-0A58-4798-A00F-DCF5D456A220}" uniqueName="13" name="4s" queryTableFieldId="13"/>
    <tableColumn id="14" xr3:uid="{D71EA246-78D2-4383-B73A-DCBC9ABD1E21}" uniqueName="14" name="6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C2C2-BFD1-4EDC-9093-8CB569BC8D3E}">
  <dimension ref="A3:B14"/>
  <sheetViews>
    <sheetView workbookViewId="0">
      <selection activeCell="N19" sqref="N19"/>
    </sheetView>
  </sheetViews>
  <sheetFormatPr defaultRowHeight="14.4" x14ac:dyDescent="0.3"/>
  <cols>
    <col min="1" max="1" width="16.5546875" bestFit="1" customWidth="1"/>
    <col min="2" max="2" width="11.5546875" bestFit="1" customWidth="1"/>
  </cols>
  <sheetData>
    <row r="3" spans="1:2" x14ac:dyDescent="0.3">
      <c r="A3" s="1" t="s">
        <v>403</v>
      </c>
      <c r="B3" t="s">
        <v>405</v>
      </c>
    </row>
    <row r="4" spans="1:2" x14ac:dyDescent="0.3">
      <c r="A4" s="2" t="s">
        <v>14</v>
      </c>
      <c r="B4" s="4">
        <v>759</v>
      </c>
    </row>
    <row r="5" spans="1:2" x14ac:dyDescent="0.3">
      <c r="A5" s="2" t="s">
        <v>18</v>
      </c>
      <c r="B5" s="4">
        <v>717</v>
      </c>
    </row>
    <row r="6" spans="1:2" x14ac:dyDescent="0.3">
      <c r="A6" s="2" t="s">
        <v>22</v>
      </c>
      <c r="B6" s="4">
        <v>657</v>
      </c>
    </row>
    <row r="7" spans="1:2" x14ac:dyDescent="0.3">
      <c r="A7" s="2" t="s">
        <v>25</v>
      </c>
      <c r="B7" s="4">
        <v>650</v>
      </c>
    </row>
    <row r="8" spans="1:2" x14ac:dyDescent="0.3">
      <c r="A8" s="2" t="s">
        <v>28</v>
      </c>
      <c r="B8" s="4">
        <v>627</v>
      </c>
    </row>
    <row r="9" spans="1:2" x14ac:dyDescent="0.3">
      <c r="A9" s="2" t="s">
        <v>32</v>
      </c>
      <c r="B9" s="4">
        <v>604</v>
      </c>
    </row>
    <row r="10" spans="1:2" x14ac:dyDescent="0.3">
      <c r="A10" s="2" t="s">
        <v>36</v>
      </c>
      <c r="B10" s="4">
        <v>559</v>
      </c>
    </row>
    <row r="11" spans="1:2" x14ac:dyDescent="0.3">
      <c r="A11" s="2" t="s">
        <v>40</v>
      </c>
      <c r="B11" s="4">
        <v>549</v>
      </c>
    </row>
    <row r="12" spans="1:2" x14ac:dyDescent="0.3">
      <c r="A12" s="2" t="s">
        <v>43</v>
      </c>
      <c r="B12" s="4">
        <v>539</v>
      </c>
    </row>
    <row r="13" spans="1:2" x14ac:dyDescent="0.3">
      <c r="A13" s="2" t="s">
        <v>47</v>
      </c>
      <c r="B13" s="4">
        <v>538</v>
      </c>
    </row>
    <row r="14" spans="1:2" x14ac:dyDescent="0.3">
      <c r="A14" s="2" t="s">
        <v>404</v>
      </c>
      <c r="B14" s="4">
        <v>6199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C00E-2E1E-40CB-9098-FE8DC2A79376}">
  <dimension ref="A3:B14"/>
  <sheetViews>
    <sheetView workbookViewId="0">
      <selection activeCell="L24" sqref="L24"/>
    </sheetView>
  </sheetViews>
  <sheetFormatPr defaultRowHeight="14.4" x14ac:dyDescent="0.3"/>
  <cols>
    <col min="1" max="1" width="12.5546875" bestFit="1" customWidth="1"/>
    <col min="2" max="2" width="11.5546875" bestFit="1" customWidth="1"/>
  </cols>
  <sheetData>
    <row r="3" spans="1:2" x14ac:dyDescent="0.3">
      <c r="A3" s="1" t="s">
        <v>403</v>
      </c>
      <c r="B3" t="s">
        <v>405</v>
      </c>
    </row>
    <row r="4" spans="1:2" x14ac:dyDescent="0.3">
      <c r="A4" s="2" t="s">
        <v>88</v>
      </c>
      <c r="B4" s="4">
        <v>2315</v>
      </c>
    </row>
    <row r="5" spans="1:2" x14ac:dyDescent="0.3">
      <c r="A5" s="2" t="s">
        <v>44</v>
      </c>
      <c r="B5" s="4">
        <v>2386</v>
      </c>
    </row>
    <row r="6" spans="1:2" x14ac:dyDescent="0.3">
      <c r="A6" s="2" t="s">
        <v>15</v>
      </c>
      <c r="B6" s="4">
        <v>2766</v>
      </c>
    </row>
    <row r="7" spans="1:2" x14ac:dyDescent="0.3">
      <c r="A7" s="2" t="s">
        <v>75</v>
      </c>
      <c r="B7" s="4">
        <v>1886</v>
      </c>
    </row>
    <row r="8" spans="1:2" x14ac:dyDescent="0.3">
      <c r="A8" s="2" t="s">
        <v>29</v>
      </c>
      <c r="B8" s="4">
        <v>2598</v>
      </c>
    </row>
    <row r="9" spans="1:2" x14ac:dyDescent="0.3">
      <c r="A9" s="2" t="s">
        <v>19</v>
      </c>
      <c r="B9" s="4">
        <v>2802</v>
      </c>
    </row>
    <row r="10" spans="1:2" x14ac:dyDescent="0.3">
      <c r="A10" s="2" t="s">
        <v>33</v>
      </c>
      <c r="B10" s="4">
        <v>3000</v>
      </c>
    </row>
    <row r="11" spans="1:2" x14ac:dyDescent="0.3">
      <c r="A11" s="2" t="s">
        <v>23</v>
      </c>
      <c r="B11" s="4">
        <v>2539</v>
      </c>
    </row>
    <row r="12" spans="1:2" x14ac:dyDescent="0.3">
      <c r="A12" s="2" t="s">
        <v>37</v>
      </c>
      <c r="B12" s="4">
        <v>2496</v>
      </c>
    </row>
    <row r="13" spans="1:2" x14ac:dyDescent="0.3">
      <c r="A13" s="2" t="s">
        <v>53</v>
      </c>
      <c r="B13" s="4">
        <v>2378</v>
      </c>
    </row>
    <row r="14" spans="1:2" x14ac:dyDescent="0.3">
      <c r="A14" s="2" t="s">
        <v>404</v>
      </c>
      <c r="B14" s="4">
        <v>25166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26D3-98F0-4529-B681-10CCCDF62023}">
  <dimension ref="A3:B14"/>
  <sheetViews>
    <sheetView zoomScale="84" zoomScaleNormal="79" workbookViewId="0">
      <selection activeCell="R27" sqref="R27"/>
    </sheetView>
  </sheetViews>
  <sheetFormatPr defaultRowHeight="14.4" x14ac:dyDescent="0.3"/>
  <cols>
    <col min="1" max="1" width="18" bestFit="1" customWidth="1"/>
    <col min="2" max="2" width="9.5546875" bestFit="1" customWidth="1"/>
  </cols>
  <sheetData>
    <row r="3" spans="1:2" x14ac:dyDescent="0.3">
      <c r="A3" s="1" t="s">
        <v>403</v>
      </c>
      <c r="B3" t="s">
        <v>406</v>
      </c>
    </row>
    <row r="4" spans="1:2" x14ac:dyDescent="0.3">
      <c r="A4" s="2" t="s">
        <v>365</v>
      </c>
      <c r="B4" s="4">
        <v>300</v>
      </c>
    </row>
    <row r="5" spans="1:2" x14ac:dyDescent="0.3">
      <c r="A5" s="2" t="s">
        <v>320</v>
      </c>
      <c r="B5" s="4">
        <v>214.28</v>
      </c>
    </row>
    <row r="6" spans="1:2" x14ac:dyDescent="0.3">
      <c r="A6" s="2" t="s">
        <v>312</v>
      </c>
      <c r="B6" s="4">
        <v>200</v>
      </c>
    </row>
    <row r="7" spans="1:2" x14ac:dyDescent="0.3">
      <c r="A7" s="2" t="s">
        <v>356</v>
      </c>
      <c r="B7" s="4">
        <v>400</v>
      </c>
    </row>
    <row r="8" spans="1:2" x14ac:dyDescent="0.3">
      <c r="A8" s="2" t="s">
        <v>377</v>
      </c>
      <c r="B8" s="4">
        <v>400</v>
      </c>
    </row>
    <row r="9" spans="1:2" x14ac:dyDescent="0.3">
      <c r="A9" s="2" t="s">
        <v>49</v>
      </c>
      <c r="B9" s="4">
        <v>196.25</v>
      </c>
    </row>
    <row r="10" spans="1:2" x14ac:dyDescent="0.3">
      <c r="A10" s="2" t="s">
        <v>357</v>
      </c>
      <c r="B10" s="4">
        <v>200</v>
      </c>
    </row>
    <row r="11" spans="1:2" x14ac:dyDescent="0.3">
      <c r="A11" s="2" t="s">
        <v>259</v>
      </c>
      <c r="B11" s="4">
        <v>291.66000000000003</v>
      </c>
    </row>
    <row r="12" spans="1:2" x14ac:dyDescent="0.3">
      <c r="A12" s="2" t="s">
        <v>262</v>
      </c>
      <c r="B12" s="4">
        <v>212.5</v>
      </c>
    </row>
    <row r="13" spans="1:2" x14ac:dyDescent="0.3">
      <c r="A13" s="2" t="s">
        <v>134</v>
      </c>
      <c r="B13" s="4">
        <v>206.55</v>
      </c>
    </row>
    <row r="14" spans="1:2" x14ac:dyDescent="0.3">
      <c r="A14" s="2" t="s">
        <v>404</v>
      </c>
      <c r="B14" s="4">
        <v>2621.2400000000002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1414-56AB-4B09-AA9E-7F3C85500C6D}">
  <dimension ref="A3:C14"/>
  <sheetViews>
    <sheetView zoomScaleNormal="100" workbookViewId="0">
      <selection activeCell="AM13" sqref="AM13"/>
    </sheetView>
  </sheetViews>
  <sheetFormatPr defaultRowHeight="14.4" x14ac:dyDescent="0.3"/>
  <cols>
    <col min="1" max="1" width="16.5546875" bestFit="1" customWidth="1"/>
    <col min="2" max="3" width="9.21875" bestFit="1" customWidth="1"/>
  </cols>
  <sheetData>
    <row r="3" spans="1:3" x14ac:dyDescent="0.3">
      <c r="A3" s="1" t="s">
        <v>403</v>
      </c>
      <c r="B3" t="s">
        <v>407</v>
      </c>
      <c r="C3" t="s">
        <v>408</v>
      </c>
    </row>
    <row r="4" spans="1:3" x14ac:dyDescent="0.3">
      <c r="A4" s="2" t="s">
        <v>18</v>
      </c>
      <c r="B4" s="4">
        <v>69</v>
      </c>
      <c r="C4" s="4">
        <v>38</v>
      </c>
    </row>
    <row r="5" spans="1:3" x14ac:dyDescent="0.3">
      <c r="A5" s="2" t="s">
        <v>28</v>
      </c>
      <c r="B5" s="4">
        <v>56</v>
      </c>
      <c r="C5" s="4">
        <v>37</v>
      </c>
    </row>
    <row r="6" spans="1:3" x14ac:dyDescent="0.3">
      <c r="A6" s="2" t="s">
        <v>40</v>
      </c>
      <c r="B6" s="4">
        <v>56</v>
      </c>
      <c r="C6" s="4">
        <v>30</v>
      </c>
    </row>
    <row r="7" spans="1:3" x14ac:dyDescent="0.3">
      <c r="A7" s="2" t="s">
        <v>36</v>
      </c>
      <c r="B7" s="4">
        <v>60</v>
      </c>
      <c r="C7" s="4">
        <v>28</v>
      </c>
    </row>
    <row r="8" spans="1:3" x14ac:dyDescent="0.3">
      <c r="A8" s="2" t="s">
        <v>56</v>
      </c>
      <c r="B8" s="4">
        <v>55</v>
      </c>
      <c r="C8" s="4">
        <v>25</v>
      </c>
    </row>
    <row r="9" spans="1:3" x14ac:dyDescent="0.3">
      <c r="A9" s="2" t="s">
        <v>47</v>
      </c>
      <c r="B9" s="4">
        <v>52</v>
      </c>
      <c r="C9" s="4">
        <v>24</v>
      </c>
    </row>
    <row r="10" spans="1:3" x14ac:dyDescent="0.3">
      <c r="A10" s="2" t="s">
        <v>25</v>
      </c>
      <c r="B10" s="4">
        <v>62</v>
      </c>
      <c r="C10" s="4">
        <v>24</v>
      </c>
    </row>
    <row r="11" spans="1:3" x14ac:dyDescent="0.3">
      <c r="A11" s="2" t="s">
        <v>14</v>
      </c>
      <c r="B11" s="4">
        <v>88</v>
      </c>
      <c r="C11" s="4">
        <v>21</v>
      </c>
    </row>
    <row r="12" spans="1:3" x14ac:dyDescent="0.3">
      <c r="A12" s="2" t="s">
        <v>43</v>
      </c>
      <c r="B12" s="4">
        <v>52</v>
      </c>
      <c r="C12" s="4">
        <v>21</v>
      </c>
    </row>
    <row r="13" spans="1:3" x14ac:dyDescent="0.3">
      <c r="A13" s="2" t="s">
        <v>22</v>
      </c>
      <c r="B13" s="4">
        <v>66</v>
      </c>
      <c r="C13" s="4">
        <v>19</v>
      </c>
    </row>
    <row r="14" spans="1:3" x14ac:dyDescent="0.3">
      <c r="A14" s="2" t="s">
        <v>404</v>
      </c>
      <c r="B14" s="4">
        <v>616</v>
      </c>
      <c r="C14" s="4">
        <v>267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B564-125F-48CD-A00D-E62307817C14}">
  <dimension ref="A3:B33"/>
  <sheetViews>
    <sheetView zoomScale="75" workbookViewId="0">
      <selection activeCell="M17" sqref="M17"/>
    </sheetView>
  </sheetViews>
  <sheetFormatPr defaultRowHeight="14.4" x14ac:dyDescent="0.3"/>
  <cols>
    <col min="1" max="1" width="13.77734375" bestFit="1" customWidth="1"/>
    <col min="2" max="2" width="11.5546875" bestFit="1" customWidth="1"/>
    <col min="3" max="3" width="10.21875" bestFit="1" customWidth="1"/>
  </cols>
  <sheetData>
    <row r="3" spans="1:2" x14ac:dyDescent="0.3">
      <c r="A3" s="1" t="s">
        <v>403</v>
      </c>
      <c r="B3" t="s">
        <v>409</v>
      </c>
    </row>
    <row r="4" spans="1:2" x14ac:dyDescent="0.3">
      <c r="A4" s="2" t="s">
        <v>88</v>
      </c>
      <c r="B4" s="4">
        <v>0</v>
      </c>
    </row>
    <row r="5" spans="1:2" x14ac:dyDescent="0.3">
      <c r="A5" s="2" t="s">
        <v>44</v>
      </c>
      <c r="B5" s="4">
        <v>1</v>
      </c>
    </row>
    <row r="6" spans="1:2" x14ac:dyDescent="0.3">
      <c r="A6" s="2" t="s">
        <v>15</v>
      </c>
      <c r="B6" s="4">
        <v>1</v>
      </c>
    </row>
    <row r="7" spans="1:2" x14ac:dyDescent="0.3">
      <c r="A7" s="2" t="s">
        <v>75</v>
      </c>
      <c r="B7" s="4">
        <v>0</v>
      </c>
    </row>
    <row r="8" spans="1:2" x14ac:dyDescent="0.3">
      <c r="A8" s="2" t="s">
        <v>29</v>
      </c>
      <c r="B8" s="4">
        <v>2</v>
      </c>
    </row>
    <row r="9" spans="1:2" x14ac:dyDescent="0.3">
      <c r="A9" s="2" t="s">
        <v>19</v>
      </c>
      <c r="B9" s="4">
        <v>0</v>
      </c>
    </row>
    <row r="10" spans="1:2" x14ac:dyDescent="0.3">
      <c r="A10" s="2" t="s">
        <v>33</v>
      </c>
      <c r="B10" s="4">
        <v>1</v>
      </c>
    </row>
    <row r="11" spans="1:2" x14ac:dyDescent="0.3">
      <c r="A11" s="2" t="s">
        <v>23</v>
      </c>
      <c r="B11" s="4">
        <v>0</v>
      </c>
    </row>
    <row r="12" spans="1:2" x14ac:dyDescent="0.3">
      <c r="A12" s="2" t="s">
        <v>37</v>
      </c>
      <c r="B12" s="4">
        <v>1</v>
      </c>
    </row>
    <row r="13" spans="1:2" x14ac:dyDescent="0.3">
      <c r="A13" s="2" t="s">
        <v>53</v>
      </c>
      <c r="B13" s="4">
        <v>3</v>
      </c>
    </row>
    <row r="14" spans="1:2" x14ac:dyDescent="0.3">
      <c r="A14" s="2" t="s">
        <v>404</v>
      </c>
      <c r="B14" s="4">
        <v>9</v>
      </c>
    </row>
    <row r="22" spans="1:2" x14ac:dyDescent="0.3">
      <c r="A22" s="1" t="s">
        <v>403</v>
      </c>
      <c r="B22" t="s">
        <v>410</v>
      </c>
    </row>
    <row r="23" spans="1:2" x14ac:dyDescent="0.3">
      <c r="A23" s="2" t="s">
        <v>88</v>
      </c>
      <c r="B23" s="4">
        <v>13</v>
      </c>
    </row>
    <row r="24" spans="1:2" x14ac:dyDescent="0.3">
      <c r="A24" s="2" t="s">
        <v>44</v>
      </c>
      <c r="B24" s="4">
        <v>9</v>
      </c>
    </row>
    <row r="25" spans="1:2" x14ac:dyDescent="0.3">
      <c r="A25" s="2" t="s">
        <v>15</v>
      </c>
      <c r="B25" s="4">
        <v>18</v>
      </c>
    </row>
    <row r="26" spans="1:2" x14ac:dyDescent="0.3">
      <c r="A26" s="2" t="s">
        <v>75</v>
      </c>
      <c r="B26" s="4">
        <v>7</v>
      </c>
    </row>
    <row r="27" spans="1:2" x14ac:dyDescent="0.3">
      <c r="A27" s="2" t="s">
        <v>29</v>
      </c>
      <c r="B27" s="4">
        <v>19</v>
      </c>
    </row>
    <row r="28" spans="1:2" x14ac:dyDescent="0.3">
      <c r="A28" s="2" t="s">
        <v>19</v>
      </c>
      <c r="B28" s="4">
        <v>15</v>
      </c>
    </row>
    <row r="29" spans="1:2" x14ac:dyDescent="0.3">
      <c r="A29" s="2" t="s">
        <v>33</v>
      </c>
      <c r="B29" s="4">
        <v>18</v>
      </c>
    </row>
    <row r="30" spans="1:2" x14ac:dyDescent="0.3">
      <c r="A30" s="2" t="s">
        <v>23</v>
      </c>
      <c r="B30" s="4">
        <v>22</v>
      </c>
    </row>
    <row r="31" spans="1:2" x14ac:dyDescent="0.3">
      <c r="A31" s="2" t="s">
        <v>37</v>
      </c>
      <c r="B31" s="4">
        <v>14</v>
      </c>
    </row>
    <row r="32" spans="1:2" x14ac:dyDescent="0.3">
      <c r="A32" s="2" t="s">
        <v>53</v>
      </c>
      <c r="B32" s="4">
        <v>8</v>
      </c>
    </row>
    <row r="33" spans="1:2" x14ac:dyDescent="0.3">
      <c r="A33" s="2" t="s">
        <v>404</v>
      </c>
      <c r="B33" s="4">
        <v>143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3FF-283F-440E-A18A-F15CD14504EB}">
  <dimension ref="A3:D6"/>
  <sheetViews>
    <sheetView workbookViewId="0">
      <selection activeCell="C6" sqref="C6"/>
    </sheetView>
  </sheetViews>
  <sheetFormatPr defaultRowHeight="14.4" x14ac:dyDescent="0.3"/>
  <cols>
    <col min="1" max="1" width="11.5546875" bestFit="1" customWidth="1"/>
    <col min="2" max="2" width="14.77734375" bestFit="1" customWidth="1"/>
    <col min="3" max="3" width="12.6640625" bestFit="1" customWidth="1"/>
    <col min="4" max="4" width="11.21875" bestFit="1" customWidth="1"/>
  </cols>
  <sheetData>
    <row r="3" spans="1:4" x14ac:dyDescent="0.3">
      <c r="A3" t="s">
        <v>405</v>
      </c>
      <c r="B3" t="s">
        <v>411</v>
      </c>
      <c r="C3" t="s">
        <v>412</v>
      </c>
      <c r="D3" t="s">
        <v>409</v>
      </c>
    </row>
    <row r="4" spans="1:4" x14ac:dyDescent="0.3">
      <c r="A4" s="4">
        <v>25166</v>
      </c>
      <c r="B4" s="4">
        <v>1539</v>
      </c>
      <c r="C4" s="3">
        <v>134.39410256410261</v>
      </c>
      <c r="D4" s="4">
        <v>9</v>
      </c>
    </row>
    <row r="6" spans="1:4" x14ac:dyDescent="0.3">
      <c r="A6">
        <f>GETPIVOTDATA("Sum of Runs",$A$3)</f>
        <v>25166</v>
      </c>
      <c r="B6">
        <f>GETPIVOTDATA("Sum of Matches",$A$3)</f>
        <v>1539</v>
      </c>
      <c r="C6" s="3">
        <f>GETPIVOTDATA("Average of SR",$A$3)</f>
        <v>134.39410256410261</v>
      </c>
      <c r="D6">
        <f>GETPIVOTDATA("Sum of 100s",$A$3)</f>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95E4-ECC1-47B6-A3AA-966259A5EB85}">
  <dimension ref="A1:N157"/>
  <sheetViews>
    <sheetView workbookViewId="0">
      <selection activeCell="G16" sqref="G16"/>
    </sheetView>
  </sheetViews>
  <sheetFormatPr defaultRowHeight="14.4" x14ac:dyDescent="0.3"/>
  <cols>
    <col min="1" max="1" width="23.33203125" bestFit="1" customWidth="1"/>
    <col min="2" max="2" width="7.88671875" bestFit="1" customWidth="1"/>
    <col min="3" max="3" width="7.33203125" bestFit="1" customWidth="1"/>
    <col min="4" max="4" width="10.44140625" bestFit="1" customWidth="1"/>
    <col min="5" max="5" width="6" bestFit="1" customWidth="1"/>
    <col min="6" max="6" width="5.6640625" bestFit="1" customWidth="1"/>
    <col min="7" max="7" width="5.44140625" bestFit="1" customWidth="1"/>
    <col min="8" max="8" width="6.88671875" bestFit="1" customWidth="1"/>
    <col min="9" max="9" width="5.21875" bestFit="1" customWidth="1"/>
    <col min="10" max="11" width="7" bestFit="1" customWidth="1"/>
    <col min="12" max="12" width="6" bestFit="1" customWidth="1"/>
    <col min="13" max="14" width="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759</v>
      </c>
      <c r="D2">
        <v>15</v>
      </c>
      <c r="E2">
        <v>15</v>
      </c>
      <c r="F2">
        <v>1</v>
      </c>
      <c r="G2" t="s">
        <v>16</v>
      </c>
      <c r="H2" t="s">
        <v>17</v>
      </c>
      <c r="I2">
        <v>486</v>
      </c>
      <c r="J2">
        <v>156.16999999999999</v>
      </c>
      <c r="K2">
        <v>1</v>
      </c>
      <c r="L2">
        <v>6</v>
      </c>
      <c r="M2">
        <v>88</v>
      </c>
      <c r="N2">
        <v>21</v>
      </c>
    </row>
    <row r="3" spans="1:14" x14ac:dyDescent="0.3">
      <c r="A3" t="s">
        <v>18</v>
      </c>
      <c r="B3" t="s">
        <v>19</v>
      </c>
      <c r="C3">
        <v>717</v>
      </c>
      <c r="D3">
        <v>16</v>
      </c>
      <c r="E3">
        <v>16</v>
      </c>
      <c r="F3">
        <v>5</v>
      </c>
      <c r="G3" t="s">
        <v>20</v>
      </c>
      <c r="H3" t="s">
        <v>21</v>
      </c>
      <c r="I3">
        <v>427</v>
      </c>
      <c r="J3">
        <v>167.91</v>
      </c>
      <c r="K3">
        <v>0</v>
      </c>
      <c r="L3">
        <v>5</v>
      </c>
      <c r="M3">
        <v>69</v>
      </c>
      <c r="N3">
        <v>38</v>
      </c>
    </row>
    <row r="4" spans="1:14" x14ac:dyDescent="0.3">
      <c r="A4" t="s">
        <v>22</v>
      </c>
      <c r="B4" t="s">
        <v>23</v>
      </c>
      <c r="C4">
        <v>657</v>
      </c>
      <c r="D4">
        <v>15</v>
      </c>
      <c r="E4">
        <v>15</v>
      </c>
      <c r="F4">
        <v>3</v>
      </c>
      <c r="G4" t="s">
        <v>20</v>
      </c>
      <c r="H4" t="s">
        <v>24</v>
      </c>
      <c r="I4">
        <v>454</v>
      </c>
      <c r="J4">
        <v>144.71</v>
      </c>
      <c r="K4">
        <v>0</v>
      </c>
      <c r="L4">
        <v>8</v>
      </c>
      <c r="M4">
        <v>66</v>
      </c>
      <c r="N4">
        <v>19</v>
      </c>
    </row>
    <row r="5" spans="1:14" x14ac:dyDescent="0.3">
      <c r="A5" t="s">
        <v>25</v>
      </c>
      <c r="B5" t="s">
        <v>15</v>
      </c>
      <c r="C5">
        <v>650</v>
      </c>
      <c r="D5">
        <v>15</v>
      </c>
      <c r="E5">
        <v>15</v>
      </c>
      <c r="F5">
        <v>2</v>
      </c>
      <c r="G5" t="s">
        <v>26</v>
      </c>
      <c r="H5" t="s">
        <v>27</v>
      </c>
      <c r="I5">
        <v>417</v>
      </c>
      <c r="J5">
        <v>155.87</v>
      </c>
      <c r="K5">
        <v>0</v>
      </c>
      <c r="L5">
        <v>6</v>
      </c>
      <c r="M5">
        <v>62</v>
      </c>
      <c r="N5">
        <v>24</v>
      </c>
    </row>
    <row r="6" spans="1:14" x14ac:dyDescent="0.3">
      <c r="A6" t="s">
        <v>28</v>
      </c>
      <c r="B6" t="s">
        <v>29</v>
      </c>
      <c r="C6">
        <v>627</v>
      </c>
      <c r="D6">
        <v>13</v>
      </c>
      <c r="E6">
        <v>13</v>
      </c>
      <c r="F6">
        <v>0</v>
      </c>
      <c r="G6" t="s">
        <v>30</v>
      </c>
      <c r="H6" t="s">
        <v>31</v>
      </c>
      <c r="I6">
        <v>383</v>
      </c>
      <c r="J6">
        <v>163.69999999999999</v>
      </c>
      <c r="K6">
        <v>1</v>
      </c>
      <c r="L6">
        <v>6</v>
      </c>
      <c r="M6">
        <v>56</v>
      </c>
      <c r="N6">
        <v>37</v>
      </c>
    </row>
    <row r="7" spans="1:14" x14ac:dyDescent="0.3">
      <c r="A7" t="s">
        <v>32</v>
      </c>
      <c r="B7" t="s">
        <v>33</v>
      </c>
      <c r="C7">
        <v>604</v>
      </c>
      <c r="D7">
        <v>17</v>
      </c>
      <c r="E7">
        <v>17</v>
      </c>
      <c r="F7">
        <v>5</v>
      </c>
      <c r="G7" t="s">
        <v>34</v>
      </c>
      <c r="H7" t="s">
        <v>35</v>
      </c>
      <c r="I7">
        <v>345</v>
      </c>
      <c r="J7">
        <v>175.07</v>
      </c>
      <c r="K7">
        <v>0</v>
      </c>
      <c r="L7">
        <v>6</v>
      </c>
      <c r="M7">
        <v>43</v>
      </c>
      <c r="N7">
        <v>39</v>
      </c>
    </row>
    <row r="8" spans="1:14" x14ac:dyDescent="0.3">
      <c r="A8" t="s">
        <v>36</v>
      </c>
      <c r="B8" t="s">
        <v>37</v>
      </c>
      <c r="C8">
        <v>559</v>
      </c>
      <c r="D8">
        <v>14</v>
      </c>
      <c r="E8">
        <v>14</v>
      </c>
      <c r="F8">
        <v>1</v>
      </c>
      <c r="G8" t="s">
        <v>38</v>
      </c>
      <c r="H8" t="s">
        <v>39</v>
      </c>
      <c r="I8">
        <v>350</v>
      </c>
      <c r="J8">
        <v>159.71</v>
      </c>
      <c r="K8">
        <v>0</v>
      </c>
      <c r="L8">
        <v>6</v>
      </c>
      <c r="M8">
        <v>60</v>
      </c>
      <c r="N8">
        <v>28</v>
      </c>
    </row>
    <row r="9" spans="1:14" x14ac:dyDescent="0.3">
      <c r="A9" t="s">
        <v>40</v>
      </c>
      <c r="B9" t="s">
        <v>33</v>
      </c>
      <c r="C9">
        <v>549</v>
      </c>
      <c r="D9">
        <v>17</v>
      </c>
      <c r="E9">
        <v>17</v>
      </c>
      <c r="F9">
        <v>0</v>
      </c>
      <c r="G9" t="s">
        <v>41</v>
      </c>
      <c r="H9" t="s">
        <v>42</v>
      </c>
      <c r="I9">
        <v>342</v>
      </c>
      <c r="J9">
        <v>160.52000000000001</v>
      </c>
      <c r="K9">
        <v>0</v>
      </c>
      <c r="L9">
        <v>4</v>
      </c>
      <c r="M9">
        <v>56</v>
      </c>
      <c r="N9">
        <v>30</v>
      </c>
    </row>
    <row r="10" spans="1:14" x14ac:dyDescent="0.3">
      <c r="A10" t="s">
        <v>43</v>
      </c>
      <c r="B10" t="s">
        <v>44</v>
      </c>
      <c r="C10">
        <v>539</v>
      </c>
      <c r="D10">
        <v>13</v>
      </c>
      <c r="E10">
        <v>13</v>
      </c>
      <c r="F10">
        <v>3</v>
      </c>
      <c r="G10" t="s">
        <v>45</v>
      </c>
      <c r="H10" t="s">
        <v>46</v>
      </c>
      <c r="I10">
        <v>360</v>
      </c>
      <c r="J10">
        <v>149.72</v>
      </c>
      <c r="K10">
        <v>1</v>
      </c>
      <c r="L10">
        <v>3</v>
      </c>
      <c r="M10">
        <v>52</v>
      </c>
      <c r="N10">
        <v>21</v>
      </c>
    </row>
    <row r="11" spans="1:14" x14ac:dyDescent="0.3">
      <c r="A11" t="s">
        <v>47</v>
      </c>
      <c r="B11" t="s">
        <v>15</v>
      </c>
      <c r="C11">
        <v>538</v>
      </c>
      <c r="D11">
        <v>14</v>
      </c>
      <c r="E11">
        <v>13</v>
      </c>
      <c r="F11">
        <v>4</v>
      </c>
      <c r="G11" t="s">
        <v>34</v>
      </c>
      <c r="H11" t="s">
        <v>48</v>
      </c>
      <c r="I11">
        <v>330</v>
      </c>
      <c r="J11">
        <v>163.03</v>
      </c>
      <c r="K11">
        <v>0</v>
      </c>
      <c r="L11">
        <v>5</v>
      </c>
      <c r="M11">
        <v>52</v>
      </c>
      <c r="N11">
        <v>24</v>
      </c>
    </row>
    <row r="12" spans="1:14" x14ac:dyDescent="0.3">
      <c r="A12" t="s">
        <v>49</v>
      </c>
      <c r="B12" t="s">
        <v>29</v>
      </c>
      <c r="C12">
        <v>524</v>
      </c>
      <c r="D12">
        <v>14</v>
      </c>
      <c r="E12">
        <v>14</v>
      </c>
      <c r="F12">
        <v>2</v>
      </c>
      <c r="G12" t="s">
        <v>50</v>
      </c>
      <c r="H12" t="s">
        <v>51</v>
      </c>
      <c r="I12">
        <v>267</v>
      </c>
      <c r="J12">
        <v>196.25</v>
      </c>
      <c r="K12">
        <v>0</v>
      </c>
      <c r="L12">
        <v>5</v>
      </c>
      <c r="M12">
        <v>45</v>
      </c>
      <c r="N12">
        <v>40</v>
      </c>
    </row>
    <row r="13" spans="1:14" x14ac:dyDescent="0.3">
      <c r="A13" t="s">
        <v>52</v>
      </c>
      <c r="B13" t="s">
        <v>53</v>
      </c>
      <c r="C13">
        <v>487</v>
      </c>
      <c r="D13">
        <v>13</v>
      </c>
      <c r="E13">
        <v>13</v>
      </c>
      <c r="F13">
        <v>2</v>
      </c>
      <c r="G13" t="s">
        <v>54</v>
      </c>
      <c r="H13" t="s">
        <v>55</v>
      </c>
      <c r="I13">
        <v>282</v>
      </c>
      <c r="J13">
        <v>172.69</v>
      </c>
      <c r="K13">
        <v>1</v>
      </c>
      <c r="L13">
        <v>1</v>
      </c>
      <c r="M13">
        <v>42</v>
      </c>
      <c r="N13">
        <v>25</v>
      </c>
    </row>
    <row r="14" spans="1:14" x14ac:dyDescent="0.3">
      <c r="A14" t="s">
        <v>56</v>
      </c>
      <c r="B14" t="s">
        <v>33</v>
      </c>
      <c r="C14">
        <v>475</v>
      </c>
      <c r="D14">
        <v>17</v>
      </c>
      <c r="E14">
        <v>17</v>
      </c>
      <c r="F14">
        <v>0</v>
      </c>
      <c r="G14" t="s">
        <v>57</v>
      </c>
      <c r="H14" t="s">
        <v>58</v>
      </c>
      <c r="I14">
        <v>265</v>
      </c>
      <c r="J14">
        <v>179.24</v>
      </c>
      <c r="K14">
        <v>1</v>
      </c>
      <c r="L14">
        <v>2</v>
      </c>
      <c r="M14">
        <v>55</v>
      </c>
      <c r="N14">
        <v>25</v>
      </c>
    </row>
    <row r="15" spans="1:14" x14ac:dyDescent="0.3">
      <c r="A15" t="s">
        <v>59</v>
      </c>
      <c r="B15" t="s">
        <v>29</v>
      </c>
      <c r="C15">
        <v>445</v>
      </c>
      <c r="D15">
        <v>13</v>
      </c>
      <c r="E15">
        <v>13</v>
      </c>
      <c r="F15">
        <v>0</v>
      </c>
      <c r="G15" t="s">
        <v>60</v>
      </c>
      <c r="H15" t="s">
        <v>61</v>
      </c>
      <c r="I15">
        <v>299</v>
      </c>
      <c r="J15">
        <v>148.82</v>
      </c>
      <c r="K15">
        <v>0</v>
      </c>
      <c r="L15">
        <v>5</v>
      </c>
      <c r="M15">
        <v>38</v>
      </c>
      <c r="N15">
        <v>22</v>
      </c>
    </row>
    <row r="16" spans="1:14" x14ac:dyDescent="0.3">
      <c r="A16" t="s">
        <v>62</v>
      </c>
      <c r="B16" t="s">
        <v>53</v>
      </c>
      <c r="C16">
        <v>439</v>
      </c>
      <c r="D16">
        <v>14</v>
      </c>
      <c r="E16">
        <v>13</v>
      </c>
      <c r="F16">
        <v>0</v>
      </c>
      <c r="G16" t="s">
        <v>63</v>
      </c>
      <c r="H16" t="s">
        <v>64</v>
      </c>
      <c r="I16">
        <v>227</v>
      </c>
      <c r="J16">
        <v>193.39</v>
      </c>
      <c r="K16">
        <v>1</v>
      </c>
      <c r="L16">
        <v>2</v>
      </c>
      <c r="M16">
        <v>46</v>
      </c>
      <c r="N16">
        <v>28</v>
      </c>
    </row>
    <row r="17" spans="1:14" x14ac:dyDescent="0.3">
      <c r="A17" t="s">
        <v>65</v>
      </c>
      <c r="B17" t="s">
        <v>19</v>
      </c>
      <c r="C17">
        <v>418</v>
      </c>
      <c r="D17">
        <v>15</v>
      </c>
      <c r="E17">
        <v>15</v>
      </c>
      <c r="F17">
        <v>1</v>
      </c>
      <c r="G17" t="s">
        <v>66</v>
      </c>
      <c r="H17" t="s">
        <v>67</v>
      </c>
      <c r="I17">
        <v>280</v>
      </c>
      <c r="J17">
        <v>149.28</v>
      </c>
      <c r="K17">
        <v>0</v>
      </c>
      <c r="L17">
        <v>4</v>
      </c>
      <c r="M17">
        <v>41</v>
      </c>
      <c r="N17">
        <v>22</v>
      </c>
    </row>
    <row r="18" spans="1:14" x14ac:dyDescent="0.3">
      <c r="A18" t="s">
        <v>68</v>
      </c>
      <c r="B18" t="s">
        <v>23</v>
      </c>
      <c r="C18">
        <v>403</v>
      </c>
      <c r="D18">
        <v>13</v>
      </c>
      <c r="E18">
        <v>13</v>
      </c>
      <c r="F18">
        <v>1</v>
      </c>
      <c r="G18" t="s">
        <v>69</v>
      </c>
      <c r="H18" t="s">
        <v>70</v>
      </c>
      <c r="I18">
        <v>229</v>
      </c>
      <c r="J18">
        <v>175.98</v>
      </c>
      <c r="K18">
        <v>0</v>
      </c>
      <c r="L18">
        <v>4</v>
      </c>
      <c r="M18">
        <v>48</v>
      </c>
      <c r="N18">
        <v>22</v>
      </c>
    </row>
    <row r="19" spans="1:14" x14ac:dyDescent="0.3">
      <c r="A19" t="s">
        <v>71</v>
      </c>
      <c r="B19" t="s">
        <v>37</v>
      </c>
      <c r="C19">
        <v>393</v>
      </c>
      <c r="D19">
        <v>14</v>
      </c>
      <c r="E19">
        <v>14</v>
      </c>
      <c r="F19">
        <v>2</v>
      </c>
      <c r="G19" t="s">
        <v>72</v>
      </c>
      <c r="H19" t="s">
        <v>73</v>
      </c>
      <c r="I19">
        <v>236</v>
      </c>
      <c r="J19">
        <v>166.52</v>
      </c>
      <c r="K19">
        <v>0</v>
      </c>
      <c r="L19">
        <v>1</v>
      </c>
      <c r="M19">
        <v>27</v>
      </c>
      <c r="N19">
        <v>27</v>
      </c>
    </row>
    <row r="20" spans="1:14" x14ac:dyDescent="0.3">
      <c r="A20" t="s">
        <v>74</v>
      </c>
      <c r="B20" t="s">
        <v>75</v>
      </c>
      <c r="C20">
        <v>390</v>
      </c>
      <c r="D20">
        <v>13</v>
      </c>
      <c r="E20">
        <v>12</v>
      </c>
      <c r="F20">
        <v>1</v>
      </c>
      <c r="G20" t="s">
        <v>76</v>
      </c>
      <c r="H20" t="s">
        <v>77</v>
      </c>
      <c r="I20">
        <v>264</v>
      </c>
      <c r="J20">
        <v>147.72</v>
      </c>
      <c r="K20">
        <v>0</v>
      </c>
      <c r="L20">
        <v>3</v>
      </c>
      <c r="M20">
        <v>36</v>
      </c>
      <c r="N20">
        <v>20</v>
      </c>
    </row>
    <row r="21" spans="1:14" x14ac:dyDescent="0.3">
      <c r="A21" t="s">
        <v>78</v>
      </c>
      <c r="B21" t="s">
        <v>19</v>
      </c>
      <c r="C21">
        <v>388</v>
      </c>
      <c r="D21">
        <v>14</v>
      </c>
      <c r="E21">
        <v>14</v>
      </c>
      <c r="F21">
        <v>1</v>
      </c>
      <c r="G21" t="s">
        <v>79</v>
      </c>
      <c r="H21" t="s">
        <v>80</v>
      </c>
      <c r="I21">
        <v>257</v>
      </c>
      <c r="J21">
        <v>150.97</v>
      </c>
      <c r="K21">
        <v>0</v>
      </c>
      <c r="L21">
        <v>3</v>
      </c>
      <c r="M21">
        <v>47</v>
      </c>
      <c r="N21">
        <v>17</v>
      </c>
    </row>
    <row r="22" spans="1:14" x14ac:dyDescent="0.3">
      <c r="A22" t="s">
        <v>81</v>
      </c>
      <c r="B22" t="s">
        <v>53</v>
      </c>
      <c r="C22">
        <v>374</v>
      </c>
      <c r="D22">
        <v>13</v>
      </c>
      <c r="E22">
        <v>12</v>
      </c>
      <c r="F22">
        <v>0</v>
      </c>
      <c r="G22" t="s">
        <v>82</v>
      </c>
      <c r="H22" t="s">
        <v>83</v>
      </c>
      <c r="I22">
        <v>230</v>
      </c>
      <c r="J22">
        <v>162.6</v>
      </c>
      <c r="K22">
        <v>0</v>
      </c>
      <c r="L22">
        <v>3</v>
      </c>
      <c r="M22">
        <v>50</v>
      </c>
      <c r="N22">
        <v>15</v>
      </c>
    </row>
    <row r="23" spans="1:14" x14ac:dyDescent="0.3">
      <c r="A23" t="s">
        <v>84</v>
      </c>
      <c r="B23" t="s">
        <v>33</v>
      </c>
      <c r="C23">
        <v>369</v>
      </c>
      <c r="D23">
        <v>16</v>
      </c>
      <c r="E23">
        <v>15</v>
      </c>
      <c r="F23">
        <v>3</v>
      </c>
      <c r="G23" t="s">
        <v>85</v>
      </c>
      <c r="H23" t="s">
        <v>86</v>
      </c>
      <c r="I23">
        <v>253</v>
      </c>
      <c r="J23">
        <v>145.84</v>
      </c>
      <c r="K23">
        <v>0</v>
      </c>
      <c r="L23">
        <v>2</v>
      </c>
      <c r="M23">
        <v>28</v>
      </c>
      <c r="N23">
        <v>21</v>
      </c>
    </row>
    <row r="24" spans="1:14" x14ac:dyDescent="0.3">
      <c r="A24" t="s">
        <v>87</v>
      </c>
      <c r="B24" t="s">
        <v>88</v>
      </c>
      <c r="C24">
        <v>357</v>
      </c>
      <c r="D24">
        <v>14</v>
      </c>
      <c r="E24">
        <v>14</v>
      </c>
      <c r="F24">
        <v>3</v>
      </c>
      <c r="G24" t="s">
        <v>89</v>
      </c>
      <c r="H24" t="s">
        <v>90</v>
      </c>
      <c r="I24">
        <v>270</v>
      </c>
      <c r="J24">
        <v>132.22</v>
      </c>
      <c r="K24">
        <v>0</v>
      </c>
      <c r="L24">
        <v>1</v>
      </c>
      <c r="M24">
        <v>22</v>
      </c>
      <c r="N24">
        <v>21</v>
      </c>
    </row>
    <row r="25" spans="1:14" x14ac:dyDescent="0.3">
      <c r="A25" t="s">
        <v>91</v>
      </c>
      <c r="B25" t="s">
        <v>53</v>
      </c>
      <c r="C25">
        <v>354</v>
      </c>
      <c r="D25">
        <v>14</v>
      </c>
      <c r="E25">
        <v>13</v>
      </c>
      <c r="F25">
        <v>3</v>
      </c>
      <c r="G25" t="s">
        <v>92</v>
      </c>
      <c r="H25" t="s">
        <v>93</v>
      </c>
      <c r="I25">
        <v>232</v>
      </c>
      <c r="J25">
        <v>152.58000000000001</v>
      </c>
      <c r="K25">
        <v>1</v>
      </c>
      <c r="L25">
        <v>1</v>
      </c>
      <c r="M25">
        <v>33</v>
      </c>
      <c r="N25">
        <v>15</v>
      </c>
    </row>
    <row r="26" spans="1:14" x14ac:dyDescent="0.3">
      <c r="A26" t="s">
        <v>94</v>
      </c>
      <c r="B26" t="s">
        <v>33</v>
      </c>
      <c r="C26">
        <v>350</v>
      </c>
      <c r="D26">
        <v>17</v>
      </c>
      <c r="E26">
        <v>14</v>
      </c>
      <c r="F26">
        <v>7</v>
      </c>
      <c r="G26" t="s">
        <v>95</v>
      </c>
      <c r="H26" t="s">
        <v>27</v>
      </c>
      <c r="I26">
        <v>228</v>
      </c>
      <c r="J26">
        <v>153.5</v>
      </c>
      <c r="K26">
        <v>0</v>
      </c>
      <c r="L26">
        <v>3</v>
      </c>
      <c r="M26">
        <v>23</v>
      </c>
      <c r="N26">
        <v>18</v>
      </c>
    </row>
    <row r="27" spans="1:14" x14ac:dyDescent="0.3">
      <c r="A27" t="s">
        <v>96</v>
      </c>
      <c r="B27" t="s">
        <v>19</v>
      </c>
      <c r="C27">
        <v>343</v>
      </c>
      <c r="D27">
        <v>16</v>
      </c>
      <c r="E27">
        <v>13</v>
      </c>
      <c r="F27">
        <v>2</v>
      </c>
      <c r="G27" t="s">
        <v>97</v>
      </c>
      <c r="H27" t="s">
        <v>98</v>
      </c>
      <c r="I27">
        <v>248</v>
      </c>
      <c r="J27">
        <v>138.30000000000001</v>
      </c>
      <c r="K27">
        <v>0</v>
      </c>
      <c r="L27">
        <v>2</v>
      </c>
      <c r="M27">
        <v>23</v>
      </c>
      <c r="N27">
        <v>16</v>
      </c>
    </row>
    <row r="28" spans="1:14" x14ac:dyDescent="0.3">
      <c r="A28" t="s">
        <v>99</v>
      </c>
      <c r="B28" t="s">
        <v>37</v>
      </c>
      <c r="C28">
        <v>333</v>
      </c>
      <c r="D28">
        <v>14</v>
      </c>
      <c r="E28">
        <v>13</v>
      </c>
      <c r="F28">
        <v>4</v>
      </c>
      <c r="G28" t="s">
        <v>85</v>
      </c>
      <c r="H28" t="s">
        <v>100</v>
      </c>
      <c r="I28">
        <v>213</v>
      </c>
      <c r="J28">
        <v>156.33000000000001</v>
      </c>
      <c r="K28">
        <v>0</v>
      </c>
      <c r="L28">
        <v>2</v>
      </c>
      <c r="M28">
        <v>22</v>
      </c>
      <c r="N28">
        <v>22</v>
      </c>
    </row>
    <row r="29" spans="1:14" x14ac:dyDescent="0.3">
      <c r="A29" t="s">
        <v>101</v>
      </c>
      <c r="B29" t="s">
        <v>29</v>
      </c>
      <c r="C29">
        <v>329</v>
      </c>
      <c r="D29">
        <v>14</v>
      </c>
      <c r="E29">
        <v>11</v>
      </c>
      <c r="F29">
        <v>1</v>
      </c>
      <c r="G29" t="s">
        <v>102</v>
      </c>
      <c r="H29" t="s">
        <v>103</v>
      </c>
      <c r="I29">
        <v>222</v>
      </c>
      <c r="J29">
        <v>148.19</v>
      </c>
      <c r="K29">
        <v>0</v>
      </c>
      <c r="L29">
        <v>2</v>
      </c>
      <c r="M29">
        <v>27</v>
      </c>
      <c r="N29">
        <v>14</v>
      </c>
    </row>
    <row r="30" spans="1:14" x14ac:dyDescent="0.3">
      <c r="A30" t="s">
        <v>104</v>
      </c>
      <c r="B30" t="s">
        <v>23</v>
      </c>
      <c r="C30">
        <v>312</v>
      </c>
      <c r="D30">
        <v>15</v>
      </c>
      <c r="E30">
        <v>14</v>
      </c>
      <c r="F30">
        <v>1</v>
      </c>
      <c r="G30" t="s">
        <v>105</v>
      </c>
      <c r="H30" t="s">
        <v>106</v>
      </c>
      <c r="I30">
        <v>217</v>
      </c>
      <c r="J30">
        <v>143.77000000000001</v>
      </c>
      <c r="K30">
        <v>0</v>
      </c>
      <c r="L30">
        <v>2</v>
      </c>
      <c r="M30">
        <v>25</v>
      </c>
      <c r="N30">
        <v>14</v>
      </c>
    </row>
    <row r="31" spans="1:14" x14ac:dyDescent="0.3">
      <c r="A31" t="s">
        <v>107</v>
      </c>
      <c r="B31" t="s">
        <v>44</v>
      </c>
      <c r="C31">
        <v>301</v>
      </c>
      <c r="D31">
        <v>13</v>
      </c>
      <c r="E31">
        <v>13</v>
      </c>
      <c r="F31">
        <v>1</v>
      </c>
      <c r="G31" t="s">
        <v>108</v>
      </c>
      <c r="H31" t="s">
        <v>109</v>
      </c>
      <c r="I31">
        <v>205</v>
      </c>
      <c r="J31">
        <v>146.82</v>
      </c>
      <c r="K31">
        <v>0</v>
      </c>
      <c r="L31">
        <v>1</v>
      </c>
      <c r="M31">
        <v>28</v>
      </c>
      <c r="N31">
        <v>12</v>
      </c>
    </row>
    <row r="32" spans="1:14" x14ac:dyDescent="0.3">
      <c r="A32" t="s">
        <v>110</v>
      </c>
      <c r="B32" t="s">
        <v>88</v>
      </c>
      <c r="C32">
        <v>301</v>
      </c>
      <c r="D32">
        <v>14</v>
      </c>
      <c r="E32">
        <v>14</v>
      </c>
      <c r="F32">
        <v>5</v>
      </c>
      <c r="G32" t="s">
        <v>111</v>
      </c>
      <c r="H32" t="s">
        <v>112</v>
      </c>
      <c r="I32">
        <v>222</v>
      </c>
      <c r="J32">
        <v>135.58000000000001</v>
      </c>
      <c r="K32">
        <v>0</v>
      </c>
      <c r="L32">
        <v>2</v>
      </c>
      <c r="M32">
        <v>25</v>
      </c>
      <c r="N32">
        <v>10</v>
      </c>
    </row>
    <row r="33" spans="1:14" x14ac:dyDescent="0.3">
      <c r="A33" t="s">
        <v>113</v>
      </c>
      <c r="B33" t="s">
        <v>44</v>
      </c>
      <c r="C33">
        <v>300</v>
      </c>
      <c r="D33">
        <v>14</v>
      </c>
      <c r="E33">
        <v>13</v>
      </c>
      <c r="F33">
        <v>7</v>
      </c>
      <c r="G33" t="s">
        <v>114</v>
      </c>
      <c r="H33" t="s">
        <v>27</v>
      </c>
      <c r="I33">
        <v>199</v>
      </c>
      <c r="J33">
        <v>150.75</v>
      </c>
      <c r="K33">
        <v>0</v>
      </c>
      <c r="L33">
        <v>0</v>
      </c>
      <c r="M33">
        <v>25</v>
      </c>
      <c r="N33">
        <v>11</v>
      </c>
    </row>
    <row r="34" spans="1:14" x14ac:dyDescent="0.3">
      <c r="A34" t="s">
        <v>115</v>
      </c>
      <c r="B34" t="s">
        <v>75</v>
      </c>
      <c r="C34">
        <v>300</v>
      </c>
      <c r="D34">
        <v>12</v>
      </c>
      <c r="E34">
        <v>11</v>
      </c>
      <c r="F34">
        <v>2</v>
      </c>
      <c r="G34" t="s">
        <v>89</v>
      </c>
      <c r="H34" t="s">
        <v>116</v>
      </c>
      <c r="I34">
        <v>215</v>
      </c>
      <c r="J34">
        <v>139.53</v>
      </c>
      <c r="K34">
        <v>0</v>
      </c>
      <c r="L34">
        <v>1</v>
      </c>
      <c r="M34">
        <v>30</v>
      </c>
      <c r="N34">
        <v>8</v>
      </c>
    </row>
    <row r="35" spans="1:14" x14ac:dyDescent="0.3">
      <c r="A35" t="s">
        <v>117</v>
      </c>
      <c r="B35" t="s">
        <v>15</v>
      </c>
      <c r="C35">
        <v>291</v>
      </c>
      <c r="D35">
        <v>13</v>
      </c>
      <c r="E35">
        <v>11</v>
      </c>
      <c r="F35">
        <v>2</v>
      </c>
      <c r="G35" t="s">
        <v>118</v>
      </c>
      <c r="H35" t="s">
        <v>119</v>
      </c>
      <c r="I35">
        <v>185</v>
      </c>
      <c r="J35">
        <v>157.29</v>
      </c>
      <c r="K35">
        <v>0</v>
      </c>
      <c r="L35">
        <v>0</v>
      </c>
      <c r="M35">
        <v>22</v>
      </c>
      <c r="N35">
        <v>18</v>
      </c>
    </row>
    <row r="36" spans="1:14" x14ac:dyDescent="0.3">
      <c r="A36" t="s">
        <v>120</v>
      </c>
      <c r="B36" t="s">
        <v>37</v>
      </c>
      <c r="C36">
        <v>285</v>
      </c>
      <c r="D36">
        <v>9</v>
      </c>
      <c r="E36">
        <v>9</v>
      </c>
      <c r="F36">
        <v>1</v>
      </c>
      <c r="G36" t="s">
        <v>60</v>
      </c>
      <c r="H36" t="s">
        <v>121</v>
      </c>
      <c r="I36">
        <v>203</v>
      </c>
      <c r="J36">
        <v>140.38999999999999</v>
      </c>
      <c r="K36">
        <v>0</v>
      </c>
      <c r="L36">
        <v>1</v>
      </c>
      <c r="M36">
        <v>27</v>
      </c>
      <c r="N36">
        <v>13</v>
      </c>
    </row>
    <row r="37" spans="1:14" x14ac:dyDescent="0.3">
      <c r="A37" t="s">
        <v>122</v>
      </c>
      <c r="B37" t="s">
        <v>33</v>
      </c>
      <c r="C37">
        <v>278</v>
      </c>
      <c r="D37">
        <v>11</v>
      </c>
      <c r="E37">
        <v>11</v>
      </c>
      <c r="F37">
        <v>2</v>
      </c>
      <c r="G37" t="s">
        <v>123</v>
      </c>
      <c r="H37" t="s">
        <v>124</v>
      </c>
      <c r="I37">
        <v>171</v>
      </c>
      <c r="J37">
        <v>162.57</v>
      </c>
      <c r="K37">
        <v>0</v>
      </c>
      <c r="L37">
        <v>1</v>
      </c>
      <c r="M37">
        <v>26</v>
      </c>
      <c r="N37">
        <v>16</v>
      </c>
    </row>
    <row r="38" spans="1:14" x14ac:dyDescent="0.3">
      <c r="A38" t="s">
        <v>125</v>
      </c>
      <c r="B38" t="s">
        <v>29</v>
      </c>
      <c r="C38">
        <v>269</v>
      </c>
      <c r="D38">
        <v>14</v>
      </c>
      <c r="E38">
        <v>13</v>
      </c>
      <c r="F38">
        <v>2</v>
      </c>
      <c r="G38" t="s">
        <v>126</v>
      </c>
      <c r="H38" t="s">
        <v>127</v>
      </c>
      <c r="I38">
        <v>202</v>
      </c>
      <c r="J38">
        <v>133.16</v>
      </c>
      <c r="K38">
        <v>1</v>
      </c>
      <c r="L38">
        <v>1</v>
      </c>
      <c r="M38">
        <v>23</v>
      </c>
      <c r="N38">
        <v>16</v>
      </c>
    </row>
    <row r="39" spans="1:14" x14ac:dyDescent="0.3">
      <c r="A39" t="s">
        <v>128</v>
      </c>
      <c r="B39" t="s">
        <v>44</v>
      </c>
      <c r="C39">
        <v>263</v>
      </c>
      <c r="D39">
        <v>12</v>
      </c>
      <c r="E39">
        <v>11</v>
      </c>
      <c r="F39">
        <v>1</v>
      </c>
      <c r="G39" t="s">
        <v>129</v>
      </c>
      <c r="H39" t="s">
        <v>130</v>
      </c>
      <c r="I39">
        <v>167</v>
      </c>
      <c r="J39">
        <v>157.47999999999999</v>
      </c>
      <c r="K39">
        <v>0</v>
      </c>
      <c r="L39">
        <v>0</v>
      </c>
      <c r="M39">
        <v>23</v>
      </c>
      <c r="N39">
        <v>15</v>
      </c>
    </row>
    <row r="40" spans="1:14" x14ac:dyDescent="0.3">
      <c r="A40" t="s">
        <v>131</v>
      </c>
      <c r="B40" t="s">
        <v>23</v>
      </c>
      <c r="C40">
        <v>261</v>
      </c>
      <c r="D40">
        <v>15</v>
      </c>
      <c r="E40">
        <v>11</v>
      </c>
      <c r="F40">
        <v>4</v>
      </c>
      <c r="G40" t="s">
        <v>132</v>
      </c>
      <c r="H40" t="s">
        <v>133</v>
      </c>
      <c r="I40">
        <v>148</v>
      </c>
      <c r="J40">
        <v>176.35</v>
      </c>
      <c r="K40">
        <v>0</v>
      </c>
      <c r="L40">
        <v>1</v>
      </c>
      <c r="M40">
        <v>24</v>
      </c>
      <c r="N40">
        <v>17</v>
      </c>
    </row>
    <row r="41" spans="1:14" x14ac:dyDescent="0.3">
      <c r="A41" t="s">
        <v>134</v>
      </c>
      <c r="B41" t="s">
        <v>37</v>
      </c>
      <c r="C41">
        <v>252</v>
      </c>
      <c r="D41">
        <v>7</v>
      </c>
      <c r="E41">
        <v>7</v>
      </c>
      <c r="F41">
        <v>0</v>
      </c>
      <c r="G41" t="s">
        <v>135</v>
      </c>
      <c r="H41" t="s">
        <v>136</v>
      </c>
      <c r="I41">
        <v>122</v>
      </c>
      <c r="J41">
        <v>206.55</v>
      </c>
      <c r="K41">
        <v>1</v>
      </c>
      <c r="L41">
        <v>1</v>
      </c>
      <c r="M41">
        <v>18</v>
      </c>
      <c r="N41">
        <v>24</v>
      </c>
    </row>
    <row r="42" spans="1:14" x14ac:dyDescent="0.3">
      <c r="A42" t="s">
        <v>137</v>
      </c>
      <c r="B42" t="s">
        <v>19</v>
      </c>
      <c r="C42">
        <v>252</v>
      </c>
      <c r="D42">
        <v>16</v>
      </c>
      <c r="E42">
        <v>12</v>
      </c>
      <c r="F42">
        <v>4</v>
      </c>
      <c r="G42" t="s">
        <v>118</v>
      </c>
      <c r="H42" t="s">
        <v>138</v>
      </c>
      <c r="I42">
        <v>138</v>
      </c>
      <c r="J42">
        <v>182.6</v>
      </c>
      <c r="K42">
        <v>0</v>
      </c>
      <c r="L42">
        <v>0</v>
      </c>
      <c r="M42">
        <v>24</v>
      </c>
      <c r="N42">
        <v>13</v>
      </c>
    </row>
    <row r="43" spans="1:14" x14ac:dyDescent="0.3">
      <c r="A43" t="s">
        <v>139</v>
      </c>
      <c r="B43" t="s">
        <v>23</v>
      </c>
      <c r="C43">
        <v>247</v>
      </c>
      <c r="D43">
        <v>10</v>
      </c>
      <c r="E43">
        <v>10</v>
      </c>
      <c r="F43">
        <v>1</v>
      </c>
      <c r="G43" t="s">
        <v>76</v>
      </c>
      <c r="H43" t="s">
        <v>140</v>
      </c>
      <c r="I43">
        <v>164</v>
      </c>
      <c r="J43">
        <v>150.6</v>
      </c>
      <c r="K43">
        <v>0</v>
      </c>
      <c r="L43">
        <v>2</v>
      </c>
      <c r="M43">
        <v>21</v>
      </c>
      <c r="N43">
        <v>14</v>
      </c>
    </row>
    <row r="44" spans="1:14" x14ac:dyDescent="0.3">
      <c r="A44" t="s">
        <v>141</v>
      </c>
      <c r="B44" t="s">
        <v>75</v>
      </c>
      <c r="C44">
        <v>246</v>
      </c>
      <c r="D44">
        <v>12</v>
      </c>
      <c r="E44">
        <v>12</v>
      </c>
      <c r="F44">
        <v>1</v>
      </c>
      <c r="G44" t="s">
        <v>142</v>
      </c>
      <c r="H44" t="s">
        <v>143</v>
      </c>
      <c r="I44">
        <v>144</v>
      </c>
      <c r="J44">
        <v>170.83</v>
      </c>
      <c r="K44">
        <v>0</v>
      </c>
      <c r="L44">
        <v>0</v>
      </c>
      <c r="M44">
        <v>25</v>
      </c>
      <c r="N44">
        <v>19</v>
      </c>
    </row>
    <row r="45" spans="1:14" x14ac:dyDescent="0.3">
      <c r="A45" t="s">
        <v>144</v>
      </c>
      <c r="B45" t="s">
        <v>88</v>
      </c>
      <c r="C45">
        <v>240</v>
      </c>
      <c r="D45">
        <v>7</v>
      </c>
      <c r="E45">
        <v>7</v>
      </c>
      <c r="F45">
        <v>0</v>
      </c>
      <c r="G45" t="s">
        <v>145</v>
      </c>
      <c r="H45" t="s">
        <v>146</v>
      </c>
      <c r="I45">
        <v>127</v>
      </c>
      <c r="J45">
        <v>188.97</v>
      </c>
      <c r="K45">
        <v>0</v>
      </c>
      <c r="L45">
        <v>1</v>
      </c>
      <c r="M45">
        <v>31</v>
      </c>
      <c r="N45">
        <v>11</v>
      </c>
    </row>
    <row r="46" spans="1:14" x14ac:dyDescent="0.3">
      <c r="A46" t="s">
        <v>147</v>
      </c>
      <c r="B46" t="s">
        <v>37</v>
      </c>
      <c r="C46">
        <v>239</v>
      </c>
      <c r="D46">
        <v>14</v>
      </c>
      <c r="E46">
        <v>13</v>
      </c>
      <c r="F46">
        <v>2</v>
      </c>
      <c r="G46" t="s">
        <v>148</v>
      </c>
      <c r="H46" t="s">
        <v>149</v>
      </c>
      <c r="I46">
        <v>164</v>
      </c>
      <c r="J46">
        <v>145.72999999999999</v>
      </c>
      <c r="K46">
        <v>0</v>
      </c>
      <c r="L46">
        <v>1</v>
      </c>
      <c r="M46">
        <v>17</v>
      </c>
      <c r="N46">
        <v>11</v>
      </c>
    </row>
    <row r="47" spans="1:14" x14ac:dyDescent="0.3">
      <c r="A47" t="s">
        <v>150</v>
      </c>
      <c r="B47" t="s">
        <v>53</v>
      </c>
      <c r="C47">
        <v>236</v>
      </c>
      <c r="D47">
        <v>14</v>
      </c>
      <c r="E47">
        <v>12</v>
      </c>
      <c r="F47">
        <v>3</v>
      </c>
      <c r="G47" t="s">
        <v>102</v>
      </c>
      <c r="H47" t="s">
        <v>151</v>
      </c>
      <c r="I47">
        <v>142</v>
      </c>
      <c r="J47">
        <v>166.19</v>
      </c>
      <c r="K47">
        <v>0</v>
      </c>
      <c r="L47">
        <v>1</v>
      </c>
      <c r="M47">
        <v>12</v>
      </c>
      <c r="N47">
        <v>20</v>
      </c>
    </row>
    <row r="48" spans="1:14" x14ac:dyDescent="0.3">
      <c r="A48" t="s">
        <v>152</v>
      </c>
      <c r="B48" t="s">
        <v>19</v>
      </c>
      <c r="C48">
        <v>233</v>
      </c>
      <c r="D48">
        <v>13</v>
      </c>
      <c r="E48">
        <v>11</v>
      </c>
      <c r="F48">
        <v>1</v>
      </c>
      <c r="G48" t="s">
        <v>153</v>
      </c>
      <c r="H48" t="s">
        <v>154</v>
      </c>
      <c r="I48">
        <v>172</v>
      </c>
      <c r="J48">
        <v>135.46</v>
      </c>
      <c r="K48">
        <v>0</v>
      </c>
      <c r="L48">
        <v>1</v>
      </c>
      <c r="M48">
        <v>22</v>
      </c>
      <c r="N48">
        <v>11</v>
      </c>
    </row>
    <row r="49" spans="1:14" x14ac:dyDescent="0.3">
      <c r="A49" t="s">
        <v>155</v>
      </c>
      <c r="B49" t="s">
        <v>88</v>
      </c>
      <c r="C49">
        <v>225</v>
      </c>
      <c r="D49">
        <v>6</v>
      </c>
      <c r="E49">
        <v>6</v>
      </c>
      <c r="F49">
        <v>0</v>
      </c>
      <c r="G49" t="s">
        <v>156</v>
      </c>
      <c r="H49" t="s">
        <v>157</v>
      </c>
      <c r="I49">
        <v>125</v>
      </c>
      <c r="J49">
        <v>180</v>
      </c>
      <c r="K49">
        <v>0</v>
      </c>
      <c r="L49">
        <v>2</v>
      </c>
      <c r="M49">
        <v>13</v>
      </c>
      <c r="N49">
        <v>17</v>
      </c>
    </row>
    <row r="50" spans="1:14" x14ac:dyDescent="0.3">
      <c r="A50" t="s">
        <v>158</v>
      </c>
      <c r="B50" t="s">
        <v>19</v>
      </c>
      <c r="C50">
        <v>224</v>
      </c>
      <c r="D50">
        <v>15</v>
      </c>
      <c r="E50">
        <v>12</v>
      </c>
      <c r="F50">
        <v>3</v>
      </c>
      <c r="G50" t="s">
        <v>159</v>
      </c>
      <c r="H50" t="s">
        <v>160</v>
      </c>
      <c r="I50">
        <v>137</v>
      </c>
      <c r="J50">
        <v>163.5</v>
      </c>
      <c r="K50">
        <v>0</v>
      </c>
      <c r="L50">
        <v>0</v>
      </c>
      <c r="M50">
        <v>18</v>
      </c>
      <c r="N50">
        <v>12</v>
      </c>
    </row>
    <row r="51" spans="1:14" x14ac:dyDescent="0.3">
      <c r="A51" t="s">
        <v>161</v>
      </c>
      <c r="B51" t="s">
        <v>37</v>
      </c>
      <c r="C51">
        <v>217</v>
      </c>
      <c r="D51">
        <v>11</v>
      </c>
      <c r="E51">
        <v>11</v>
      </c>
      <c r="F51">
        <v>1</v>
      </c>
      <c r="G51" t="s">
        <v>66</v>
      </c>
      <c r="H51" t="s">
        <v>162</v>
      </c>
      <c r="I51">
        <v>134</v>
      </c>
      <c r="J51">
        <v>161.94</v>
      </c>
      <c r="K51">
        <v>0</v>
      </c>
      <c r="L51">
        <v>2</v>
      </c>
      <c r="M51">
        <v>27</v>
      </c>
      <c r="N51">
        <v>9</v>
      </c>
    </row>
    <row r="52" spans="1:14" x14ac:dyDescent="0.3">
      <c r="A52" t="s">
        <v>163</v>
      </c>
      <c r="B52" t="s">
        <v>75</v>
      </c>
      <c r="C52">
        <v>206</v>
      </c>
      <c r="D52">
        <v>13</v>
      </c>
      <c r="E52">
        <v>11</v>
      </c>
      <c r="F52">
        <v>4</v>
      </c>
      <c r="G52" t="s">
        <v>164</v>
      </c>
      <c r="H52" t="s">
        <v>165</v>
      </c>
      <c r="I52">
        <v>134</v>
      </c>
      <c r="J52">
        <v>153.72999999999999</v>
      </c>
      <c r="K52">
        <v>0</v>
      </c>
      <c r="L52">
        <v>0</v>
      </c>
      <c r="M52">
        <v>20</v>
      </c>
      <c r="N52">
        <v>10</v>
      </c>
    </row>
    <row r="53" spans="1:14" x14ac:dyDescent="0.3">
      <c r="A53" t="s">
        <v>166</v>
      </c>
      <c r="B53" t="s">
        <v>44</v>
      </c>
      <c r="C53">
        <v>204</v>
      </c>
      <c r="D53">
        <v>13</v>
      </c>
      <c r="E53">
        <v>9</v>
      </c>
      <c r="F53">
        <v>2</v>
      </c>
      <c r="G53" t="s">
        <v>167</v>
      </c>
      <c r="H53" t="s">
        <v>168</v>
      </c>
      <c r="I53">
        <v>127</v>
      </c>
      <c r="J53">
        <v>160.62</v>
      </c>
      <c r="K53">
        <v>0</v>
      </c>
      <c r="L53">
        <v>1</v>
      </c>
      <c r="M53">
        <v>14</v>
      </c>
      <c r="N53">
        <v>13</v>
      </c>
    </row>
    <row r="54" spans="1:14" x14ac:dyDescent="0.3">
      <c r="A54" t="s">
        <v>169</v>
      </c>
      <c r="B54" t="s">
        <v>44</v>
      </c>
      <c r="C54">
        <v>202</v>
      </c>
      <c r="D54">
        <v>9</v>
      </c>
      <c r="E54">
        <v>9</v>
      </c>
      <c r="F54">
        <v>0</v>
      </c>
      <c r="G54" t="s">
        <v>170</v>
      </c>
      <c r="H54" t="s">
        <v>171</v>
      </c>
      <c r="I54">
        <v>163</v>
      </c>
      <c r="J54">
        <v>123.92</v>
      </c>
      <c r="K54">
        <v>0</v>
      </c>
      <c r="L54">
        <v>2</v>
      </c>
      <c r="M54">
        <v>18</v>
      </c>
      <c r="N54">
        <v>8</v>
      </c>
    </row>
    <row r="55" spans="1:14" x14ac:dyDescent="0.3">
      <c r="A55" t="s">
        <v>172</v>
      </c>
      <c r="B55" t="s">
        <v>44</v>
      </c>
      <c r="C55">
        <v>198</v>
      </c>
      <c r="D55">
        <v>8</v>
      </c>
      <c r="E55">
        <v>8</v>
      </c>
      <c r="F55">
        <v>0</v>
      </c>
      <c r="G55" t="s">
        <v>173</v>
      </c>
      <c r="H55" t="s">
        <v>174</v>
      </c>
      <c r="I55">
        <v>115</v>
      </c>
      <c r="J55">
        <v>172.17</v>
      </c>
      <c r="K55">
        <v>0</v>
      </c>
      <c r="L55">
        <v>1</v>
      </c>
      <c r="M55">
        <v>24</v>
      </c>
      <c r="N55">
        <v>10</v>
      </c>
    </row>
    <row r="56" spans="1:14" x14ac:dyDescent="0.3">
      <c r="A56" t="s">
        <v>175</v>
      </c>
      <c r="B56" t="s">
        <v>88</v>
      </c>
      <c r="C56">
        <v>196</v>
      </c>
      <c r="D56">
        <v>14</v>
      </c>
      <c r="E56">
        <v>13</v>
      </c>
      <c r="F56">
        <v>5</v>
      </c>
      <c r="G56" t="s">
        <v>176</v>
      </c>
      <c r="H56" t="s">
        <v>177</v>
      </c>
      <c r="I56">
        <v>145</v>
      </c>
      <c r="J56">
        <v>135.16999999999999</v>
      </c>
      <c r="K56">
        <v>0</v>
      </c>
      <c r="L56">
        <v>0</v>
      </c>
      <c r="M56">
        <v>12</v>
      </c>
      <c r="N56">
        <v>12</v>
      </c>
    </row>
    <row r="57" spans="1:14" x14ac:dyDescent="0.3">
      <c r="A57" t="s">
        <v>178</v>
      </c>
      <c r="B57" t="s">
        <v>88</v>
      </c>
      <c r="C57">
        <v>191</v>
      </c>
      <c r="D57">
        <v>8</v>
      </c>
      <c r="E57">
        <v>8</v>
      </c>
      <c r="F57">
        <v>1</v>
      </c>
      <c r="G57" t="s">
        <v>179</v>
      </c>
      <c r="H57" t="s">
        <v>180</v>
      </c>
      <c r="I57">
        <v>149</v>
      </c>
      <c r="J57">
        <v>128.18</v>
      </c>
      <c r="K57">
        <v>0</v>
      </c>
      <c r="L57">
        <v>1</v>
      </c>
      <c r="M57">
        <v>18</v>
      </c>
      <c r="N57">
        <v>4</v>
      </c>
    </row>
    <row r="58" spans="1:14" x14ac:dyDescent="0.3">
      <c r="A58" t="s">
        <v>181</v>
      </c>
      <c r="B58" t="s">
        <v>23</v>
      </c>
      <c r="C58">
        <v>187</v>
      </c>
      <c r="D58">
        <v>12</v>
      </c>
      <c r="E58">
        <v>9</v>
      </c>
      <c r="F58">
        <v>6</v>
      </c>
      <c r="G58" t="s">
        <v>182</v>
      </c>
      <c r="H58" t="s">
        <v>183</v>
      </c>
      <c r="I58">
        <v>101</v>
      </c>
      <c r="J58">
        <v>185.14</v>
      </c>
      <c r="K58">
        <v>0</v>
      </c>
      <c r="L58">
        <v>1</v>
      </c>
      <c r="M58">
        <v>16</v>
      </c>
      <c r="N58">
        <v>14</v>
      </c>
    </row>
    <row r="59" spans="1:14" x14ac:dyDescent="0.3">
      <c r="A59" t="s">
        <v>184</v>
      </c>
      <c r="B59" t="s">
        <v>53</v>
      </c>
      <c r="C59">
        <v>182</v>
      </c>
      <c r="D59">
        <v>13</v>
      </c>
      <c r="E59">
        <v>11</v>
      </c>
      <c r="F59">
        <v>3</v>
      </c>
      <c r="G59" t="s">
        <v>185</v>
      </c>
      <c r="H59" t="s">
        <v>186</v>
      </c>
      <c r="I59">
        <v>153</v>
      </c>
      <c r="J59">
        <v>118.95</v>
      </c>
      <c r="K59">
        <v>0</v>
      </c>
      <c r="L59">
        <v>0</v>
      </c>
      <c r="M59">
        <v>16</v>
      </c>
      <c r="N59">
        <v>4</v>
      </c>
    </row>
    <row r="60" spans="1:14" x14ac:dyDescent="0.3">
      <c r="A60" t="s">
        <v>187</v>
      </c>
      <c r="B60" t="s">
        <v>15</v>
      </c>
      <c r="C60">
        <v>179</v>
      </c>
      <c r="D60">
        <v>15</v>
      </c>
      <c r="E60">
        <v>11</v>
      </c>
      <c r="F60">
        <v>5</v>
      </c>
      <c r="G60" t="s">
        <v>156</v>
      </c>
      <c r="H60" t="s">
        <v>188</v>
      </c>
      <c r="I60">
        <v>100</v>
      </c>
      <c r="J60">
        <v>179</v>
      </c>
      <c r="K60">
        <v>0</v>
      </c>
      <c r="L60">
        <v>1</v>
      </c>
      <c r="M60">
        <v>11</v>
      </c>
      <c r="N60">
        <v>13</v>
      </c>
    </row>
    <row r="61" spans="1:14" x14ac:dyDescent="0.3">
      <c r="A61" t="s">
        <v>189</v>
      </c>
      <c r="B61" t="s">
        <v>75</v>
      </c>
      <c r="C61">
        <v>167</v>
      </c>
      <c r="D61">
        <v>13</v>
      </c>
      <c r="E61">
        <v>10</v>
      </c>
      <c r="F61">
        <v>1</v>
      </c>
      <c r="G61" t="s">
        <v>190</v>
      </c>
      <c r="H61" t="s">
        <v>191</v>
      </c>
      <c r="I61">
        <v>102</v>
      </c>
      <c r="J61">
        <v>163.72</v>
      </c>
      <c r="K61">
        <v>0</v>
      </c>
      <c r="L61">
        <v>1</v>
      </c>
      <c r="M61">
        <v>16</v>
      </c>
      <c r="N61">
        <v>14</v>
      </c>
    </row>
    <row r="62" spans="1:14" x14ac:dyDescent="0.3">
      <c r="A62" t="s">
        <v>192</v>
      </c>
      <c r="B62" t="s">
        <v>29</v>
      </c>
      <c r="C62">
        <v>164</v>
      </c>
      <c r="D62">
        <v>13</v>
      </c>
      <c r="E62">
        <v>12</v>
      </c>
      <c r="F62">
        <v>4</v>
      </c>
      <c r="G62" t="s">
        <v>193</v>
      </c>
      <c r="H62" t="s">
        <v>194</v>
      </c>
      <c r="I62">
        <v>93</v>
      </c>
      <c r="J62">
        <v>176.34</v>
      </c>
      <c r="K62">
        <v>0</v>
      </c>
      <c r="L62">
        <v>0</v>
      </c>
      <c r="M62">
        <v>8</v>
      </c>
      <c r="N62">
        <v>14</v>
      </c>
    </row>
    <row r="63" spans="1:14" x14ac:dyDescent="0.3">
      <c r="A63" t="s">
        <v>195</v>
      </c>
      <c r="B63" t="s">
        <v>33</v>
      </c>
      <c r="C63">
        <v>160</v>
      </c>
      <c r="D63">
        <v>13</v>
      </c>
      <c r="E63">
        <v>11</v>
      </c>
      <c r="F63">
        <v>5</v>
      </c>
      <c r="G63" t="s">
        <v>196</v>
      </c>
      <c r="H63" t="s">
        <v>197</v>
      </c>
      <c r="I63">
        <v>86</v>
      </c>
      <c r="J63">
        <v>186.04</v>
      </c>
      <c r="K63">
        <v>0</v>
      </c>
      <c r="L63">
        <v>0</v>
      </c>
      <c r="M63">
        <v>8</v>
      </c>
      <c r="N63">
        <v>15</v>
      </c>
    </row>
    <row r="64" spans="1:14" x14ac:dyDescent="0.3">
      <c r="A64" t="s">
        <v>198</v>
      </c>
      <c r="B64" t="s">
        <v>88</v>
      </c>
      <c r="C64">
        <v>156</v>
      </c>
      <c r="D64">
        <v>6</v>
      </c>
      <c r="E64">
        <v>6</v>
      </c>
      <c r="F64">
        <v>0</v>
      </c>
      <c r="G64" t="s">
        <v>199</v>
      </c>
      <c r="H64" t="s">
        <v>200</v>
      </c>
      <c r="I64">
        <v>119</v>
      </c>
      <c r="J64">
        <v>131.09</v>
      </c>
      <c r="K64">
        <v>0</v>
      </c>
      <c r="L64">
        <v>2</v>
      </c>
      <c r="M64">
        <v>17</v>
      </c>
      <c r="N64">
        <v>4</v>
      </c>
    </row>
    <row r="65" spans="1:14" x14ac:dyDescent="0.3">
      <c r="A65" t="s">
        <v>201</v>
      </c>
      <c r="B65" t="s">
        <v>29</v>
      </c>
      <c r="C65">
        <v>153</v>
      </c>
      <c r="D65">
        <v>11</v>
      </c>
      <c r="E65">
        <v>11</v>
      </c>
      <c r="F65">
        <v>6</v>
      </c>
      <c r="G65" t="s">
        <v>202</v>
      </c>
      <c r="H65" t="s">
        <v>203</v>
      </c>
      <c r="I65">
        <v>120</v>
      </c>
      <c r="J65">
        <v>127.5</v>
      </c>
      <c r="K65">
        <v>0</v>
      </c>
      <c r="L65">
        <v>0</v>
      </c>
      <c r="M65">
        <v>13</v>
      </c>
      <c r="N65">
        <v>4</v>
      </c>
    </row>
    <row r="66" spans="1:14" x14ac:dyDescent="0.3">
      <c r="A66" t="s">
        <v>204</v>
      </c>
      <c r="B66" t="s">
        <v>75</v>
      </c>
      <c r="C66">
        <v>152</v>
      </c>
      <c r="D66">
        <v>8</v>
      </c>
      <c r="E66">
        <v>8</v>
      </c>
      <c r="F66">
        <v>1</v>
      </c>
      <c r="G66" t="s">
        <v>34</v>
      </c>
      <c r="H66" t="s">
        <v>205</v>
      </c>
      <c r="I66">
        <v>117</v>
      </c>
      <c r="J66">
        <v>129.91</v>
      </c>
      <c r="K66">
        <v>0</v>
      </c>
      <c r="L66">
        <v>1</v>
      </c>
      <c r="M66">
        <v>9</v>
      </c>
      <c r="N66">
        <v>11</v>
      </c>
    </row>
    <row r="67" spans="1:14" x14ac:dyDescent="0.3">
      <c r="A67" t="s">
        <v>206</v>
      </c>
      <c r="B67" t="s">
        <v>44</v>
      </c>
      <c r="C67">
        <v>142</v>
      </c>
      <c r="D67">
        <v>14</v>
      </c>
      <c r="E67">
        <v>8</v>
      </c>
      <c r="F67">
        <v>1</v>
      </c>
      <c r="G67" t="s">
        <v>207</v>
      </c>
      <c r="H67" t="s">
        <v>208</v>
      </c>
      <c r="I67">
        <v>79</v>
      </c>
      <c r="J67">
        <v>179.74</v>
      </c>
      <c r="K67">
        <v>0</v>
      </c>
      <c r="L67">
        <v>0</v>
      </c>
      <c r="M67">
        <v>15</v>
      </c>
      <c r="N67">
        <v>8</v>
      </c>
    </row>
    <row r="68" spans="1:14" x14ac:dyDescent="0.3">
      <c r="A68" t="s">
        <v>209</v>
      </c>
      <c r="B68" t="s">
        <v>75</v>
      </c>
      <c r="C68">
        <v>142</v>
      </c>
      <c r="D68">
        <v>11</v>
      </c>
      <c r="E68">
        <v>7</v>
      </c>
      <c r="F68">
        <v>0</v>
      </c>
      <c r="G68" t="s">
        <v>210</v>
      </c>
      <c r="H68" t="s">
        <v>208</v>
      </c>
      <c r="I68">
        <v>102</v>
      </c>
      <c r="J68">
        <v>139.21</v>
      </c>
      <c r="K68">
        <v>0</v>
      </c>
      <c r="L68">
        <v>1</v>
      </c>
      <c r="M68">
        <v>15</v>
      </c>
      <c r="N68">
        <v>4</v>
      </c>
    </row>
    <row r="69" spans="1:14" x14ac:dyDescent="0.3">
      <c r="A69" t="s">
        <v>211</v>
      </c>
      <c r="B69" t="s">
        <v>15</v>
      </c>
      <c r="C69">
        <v>133</v>
      </c>
      <c r="D69">
        <v>6</v>
      </c>
      <c r="E69">
        <v>5</v>
      </c>
      <c r="F69">
        <v>0</v>
      </c>
      <c r="G69" t="s">
        <v>212</v>
      </c>
      <c r="H69" t="s">
        <v>213</v>
      </c>
      <c r="I69">
        <v>80</v>
      </c>
      <c r="J69">
        <v>166.25</v>
      </c>
      <c r="K69">
        <v>0</v>
      </c>
      <c r="L69">
        <v>0</v>
      </c>
      <c r="M69">
        <v>10</v>
      </c>
      <c r="N69">
        <v>7</v>
      </c>
    </row>
    <row r="70" spans="1:14" x14ac:dyDescent="0.3">
      <c r="A70" t="s">
        <v>214</v>
      </c>
      <c r="B70" t="s">
        <v>88</v>
      </c>
      <c r="C70">
        <v>122</v>
      </c>
      <c r="D70">
        <v>5</v>
      </c>
      <c r="E70">
        <v>5</v>
      </c>
      <c r="F70">
        <v>0</v>
      </c>
      <c r="G70" t="s">
        <v>215</v>
      </c>
      <c r="H70" t="s">
        <v>216</v>
      </c>
      <c r="I70">
        <v>81</v>
      </c>
      <c r="J70">
        <v>150.61000000000001</v>
      </c>
      <c r="K70">
        <v>0</v>
      </c>
      <c r="L70">
        <v>2</v>
      </c>
      <c r="M70">
        <v>14</v>
      </c>
      <c r="N70">
        <v>4</v>
      </c>
    </row>
    <row r="71" spans="1:14" x14ac:dyDescent="0.3">
      <c r="A71" t="s">
        <v>217</v>
      </c>
      <c r="B71" t="s">
        <v>44</v>
      </c>
      <c r="C71">
        <v>121</v>
      </c>
      <c r="D71">
        <v>5</v>
      </c>
      <c r="E71">
        <v>4</v>
      </c>
      <c r="F71">
        <v>1</v>
      </c>
      <c r="G71" t="s">
        <v>218</v>
      </c>
      <c r="H71" t="s">
        <v>219</v>
      </c>
      <c r="I71">
        <v>79</v>
      </c>
      <c r="J71">
        <v>153.16</v>
      </c>
      <c r="K71">
        <v>0</v>
      </c>
      <c r="L71">
        <v>1</v>
      </c>
      <c r="M71">
        <v>11</v>
      </c>
      <c r="N71">
        <v>7</v>
      </c>
    </row>
    <row r="72" spans="1:14" x14ac:dyDescent="0.3">
      <c r="A72" t="s">
        <v>220</v>
      </c>
      <c r="B72" t="s">
        <v>88</v>
      </c>
      <c r="C72">
        <v>118</v>
      </c>
      <c r="D72">
        <v>6</v>
      </c>
      <c r="E72">
        <v>5</v>
      </c>
      <c r="F72">
        <v>2</v>
      </c>
      <c r="G72" t="s">
        <v>221</v>
      </c>
      <c r="H72" t="s">
        <v>222</v>
      </c>
      <c r="I72">
        <v>91</v>
      </c>
      <c r="J72">
        <v>129.66999999999999</v>
      </c>
      <c r="K72">
        <v>0</v>
      </c>
      <c r="L72">
        <v>1</v>
      </c>
      <c r="M72">
        <v>8</v>
      </c>
      <c r="N72">
        <v>3</v>
      </c>
    </row>
    <row r="73" spans="1:14" x14ac:dyDescent="0.3">
      <c r="A73" t="s">
        <v>223</v>
      </c>
      <c r="B73" t="s">
        <v>88</v>
      </c>
      <c r="C73">
        <v>114</v>
      </c>
      <c r="D73">
        <v>5</v>
      </c>
      <c r="E73">
        <v>5</v>
      </c>
      <c r="F73">
        <v>0</v>
      </c>
      <c r="G73" t="s">
        <v>224</v>
      </c>
      <c r="H73" t="s">
        <v>225</v>
      </c>
      <c r="I73">
        <v>84</v>
      </c>
      <c r="J73">
        <v>135.71</v>
      </c>
      <c r="K73">
        <v>0</v>
      </c>
      <c r="L73">
        <v>1</v>
      </c>
      <c r="M73">
        <v>11</v>
      </c>
      <c r="N73">
        <v>4</v>
      </c>
    </row>
    <row r="74" spans="1:14" x14ac:dyDescent="0.3">
      <c r="A74" t="s">
        <v>226</v>
      </c>
      <c r="B74" t="s">
        <v>23</v>
      </c>
      <c r="C74">
        <v>112</v>
      </c>
      <c r="D74">
        <v>10</v>
      </c>
      <c r="E74">
        <v>8</v>
      </c>
      <c r="F74">
        <v>1</v>
      </c>
      <c r="G74" t="s">
        <v>227</v>
      </c>
      <c r="H74" t="s">
        <v>228</v>
      </c>
      <c r="I74">
        <v>84</v>
      </c>
      <c r="J74">
        <v>133.33000000000001</v>
      </c>
      <c r="K74">
        <v>0</v>
      </c>
      <c r="L74">
        <v>1</v>
      </c>
      <c r="M74">
        <v>4</v>
      </c>
      <c r="N74">
        <v>9</v>
      </c>
    </row>
    <row r="75" spans="1:14" x14ac:dyDescent="0.3">
      <c r="A75" t="s">
        <v>229</v>
      </c>
      <c r="B75" t="s">
        <v>23</v>
      </c>
      <c r="C75">
        <v>109</v>
      </c>
      <c r="D75">
        <v>15</v>
      </c>
      <c r="E75">
        <v>7</v>
      </c>
      <c r="F75">
        <v>1</v>
      </c>
      <c r="G75" t="s">
        <v>20</v>
      </c>
      <c r="H75" t="s">
        <v>230</v>
      </c>
      <c r="I75">
        <v>86</v>
      </c>
      <c r="J75">
        <v>126.74</v>
      </c>
      <c r="K75">
        <v>0</v>
      </c>
      <c r="L75">
        <v>1</v>
      </c>
      <c r="M75">
        <v>9</v>
      </c>
      <c r="N75">
        <v>4</v>
      </c>
    </row>
    <row r="76" spans="1:14" x14ac:dyDescent="0.3">
      <c r="A76" t="s">
        <v>231</v>
      </c>
      <c r="B76" t="s">
        <v>37</v>
      </c>
      <c r="C76">
        <v>106</v>
      </c>
      <c r="D76">
        <v>9</v>
      </c>
      <c r="E76">
        <v>8</v>
      </c>
      <c r="F76">
        <v>4</v>
      </c>
      <c r="G76" t="s">
        <v>232</v>
      </c>
      <c r="H76" t="s">
        <v>233</v>
      </c>
      <c r="I76">
        <v>66</v>
      </c>
      <c r="J76">
        <v>160.6</v>
      </c>
      <c r="K76">
        <v>0</v>
      </c>
      <c r="L76">
        <v>0</v>
      </c>
      <c r="M76">
        <v>6</v>
      </c>
      <c r="N76">
        <v>8</v>
      </c>
    </row>
    <row r="77" spans="1:14" x14ac:dyDescent="0.3">
      <c r="A77" t="s">
        <v>234</v>
      </c>
      <c r="B77" t="s">
        <v>15</v>
      </c>
      <c r="C77">
        <v>99</v>
      </c>
      <c r="D77">
        <v>15</v>
      </c>
      <c r="E77">
        <v>12</v>
      </c>
      <c r="F77">
        <v>4</v>
      </c>
      <c r="G77" t="s">
        <v>235</v>
      </c>
      <c r="H77" t="s">
        <v>236</v>
      </c>
      <c r="I77">
        <v>59</v>
      </c>
      <c r="J77">
        <v>167.79</v>
      </c>
      <c r="K77">
        <v>0</v>
      </c>
      <c r="L77">
        <v>0</v>
      </c>
      <c r="M77">
        <v>6</v>
      </c>
      <c r="N77">
        <v>7</v>
      </c>
    </row>
    <row r="78" spans="1:14" x14ac:dyDescent="0.3">
      <c r="A78" t="s">
        <v>237</v>
      </c>
      <c r="B78" t="s">
        <v>53</v>
      </c>
      <c r="C78">
        <v>97</v>
      </c>
      <c r="D78">
        <v>14</v>
      </c>
      <c r="E78">
        <v>9</v>
      </c>
      <c r="F78">
        <v>5</v>
      </c>
      <c r="G78" t="s">
        <v>238</v>
      </c>
      <c r="H78" t="s">
        <v>239</v>
      </c>
      <c r="I78">
        <v>58</v>
      </c>
      <c r="J78">
        <v>167.24</v>
      </c>
      <c r="K78">
        <v>0</v>
      </c>
      <c r="L78">
        <v>0</v>
      </c>
      <c r="M78">
        <v>6</v>
      </c>
      <c r="N78">
        <v>7</v>
      </c>
    </row>
    <row r="79" spans="1:14" x14ac:dyDescent="0.3">
      <c r="A79" t="s">
        <v>240</v>
      </c>
      <c r="B79" t="s">
        <v>23</v>
      </c>
      <c r="C79">
        <v>95</v>
      </c>
      <c r="D79">
        <v>4</v>
      </c>
      <c r="E79">
        <v>4</v>
      </c>
      <c r="F79">
        <v>1</v>
      </c>
      <c r="G79" t="s">
        <v>114</v>
      </c>
      <c r="H79" t="s">
        <v>241</v>
      </c>
      <c r="I79">
        <v>64</v>
      </c>
      <c r="J79">
        <v>148.43</v>
      </c>
      <c r="K79">
        <v>0</v>
      </c>
      <c r="L79">
        <v>0</v>
      </c>
      <c r="M79">
        <v>10</v>
      </c>
      <c r="N79">
        <v>2</v>
      </c>
    </row>
    <row r="80" spans="1:14" x14ac:dyDescent="0.3">
      <c r="A80" t="s">
        <v>242</v>
      </c>
      <c r="B80" t="s">
        <v>75</v>
      </c>
      <c r="C80">
        <v>92</v>
      </c>
      <c r="D80">
        <v>3</v>
      </c>
      <c r="E80">
        <v>3</v>
      </c>
      <c r="F80">
        <v>1</v>
      </c>
      <c r="G80" t="s">
        <v>243</v>
      </c>
      <c r="H80" t="s">
        <v>244</v>
      </c>
      <c r="I80">
        <v>65</v>
      </c>
      <c r="J80">
        <v>141.53</v>
      </c>
      <c r="K80">
        <v>0</v>
      </c>
      <c r="L80">
        <v>0</v>
      </c>
      <c r="M80">
        <v>5</v>
      </c>
      <c r="N80">
        <v>5</v>
      </c>
    </row>
    <row r="81" spans="1:14" x14ac:dyDescent="0.3">
      <c r="A81" t="s">
        <v>245</v>
      </c>
      <c r="B81" t="s">
        <v>53</v>
      </c>
      <c r="C81">
        <v>92</v>
      </c>
      <c r="D81">
        <v>5</v>
      </c>
      <c r="E81">
        <v>5</v>
      </c>
      <c r="F81">
        <v>2</v>
      </c>
      <c r="G81" t="s">
        <v>246</v>
      </c>
      <c r="H81" t="s">
        <v>247</v>
      </c>
      <c r="I81">
        <v>69</v>
      </c>
      <c r="J81">
        <v>133.33000000000001</v>
      </c>
      <c r="K81">
        <v>0</v>
      </c>
      <c r="L81">
        <v>0</v>
      </c>
      <c r="M81">
        <v>7</v>
      </c>
      <c r="N81">
        <v>2</v>
      </c>
    </row>
    <row r="82" spans="1:14" x14ac:dyDescent="0.3">
      <c r="A82" t="s">
        <v>248</v>
      </c>
      <c r="B82" t="s">
        <v>19</v>
      </c>
      <c r="C82">
        <v>85</v>
      </c>
      <c r="D82">
        <v>2</v>
      </c>
      <c r="E82">
        <v>2</v>
      </c>
      <c r="F82">
        <v>0</v>
      </c>
      <c r="G82" t="s">
        <v>249</v>
      </c>
      <c r="H82" t="s">
        <v>250</v>
      </c>
      <c r="I82">
        <v>46</v>
      </c>
      <c r="J82">
        <v>184.78</v>
      </c>
      <c r="K82">
        <v>0</v>
      </c>
      <c r="L82">
        <v>0</v>
      </c>
      <c r="M82">
        <v>7</v>
      </c>
      <c r="N82">
        <v>5</v>
      </c>
    </row>
    <row r="83" spans="1:14" x14ac:dyDescent="0.3">
      <c r="A83" t="s">
        <v>251</v>
      </c>
      <c r="B83" t="s">
        <v>33</v>
      </c>
      <c r="C83">
        <v>75</v>
      </c>
      <c r="D83">
        <v>14</v>
      </c>
      <c r="E83">
        <v>8</v>
      </c>
      <c r="F83">
        <v>4</v>
      </c>
      <c r="G83" t="s">
        <v>232</v>
      </c>
      <c r="H83" t="s">
        <v>252</v>
      </c>
      <c r="I83">
        <v>63</v>
      </c>
      <c r="J83">
        <v>119.04</v>
      </c>
      <c r="K83">
        <v>0</v>
      </c>
      <c r="L83">
        <v>0</v>
      </c>
      <c r="M83">
        <v>3</v>
      </c>
      <c r="N83">
        <v>4</v>
      </c>
    </row>
    <row r="84" spans="1:14" x14ac:dyDescent="0.3">
      <c r="A84" t="s">
        <v>253</v>
      </c>
      <c r="B84" t="s">
        <v>75</v>
      </c>
      <c r="C84">
        <v>74</v>
      </c>
      <c r="D84">
        <v>5</v>
      </c>
      <c r="E84">
        <v>5</v>
      </c>
      <c r="F84">
        <v>1</v>
      </c>
      <c r="G84" t="s">
        <v>254</v>
      </c>
      <c r="H84" t="s">
        <v>255</v>
      </c>
      <c r="I84">
        <v>53</v>
      </c>
      <c r="J84">
        <v>139.62</v>
      </c>
      <c r="K84">
        <v>0</v>
      </c>
      <c r="L84">
        <v>0</v>
      </c>
      <c r="M84">
        <v>10</v>
      </c>
      <c r="N84">
        <v>3</v>
      </c>
    </row>
    <row r="85" spans="1:14" x14ac:dyDescent="0.3">
      <c r="A85" t="s">
        <v>256</v>
      </c>
      <c r="B85" t="s">
        <v>88</v>
      </c>
      <c r="C85">
        <v>71</v>
      </c>
      <c r="D85">
        <v>5</v>
      </c>
      <c r="E85">
        <v>5</v>
      </c>
      <c r="F85">
        <v>0</v>
      </c>
      <c r="G85" t="s">
        <v>257</v>
      </c>
      <c r="H85" t="s">
        <v>258</v>
      </c>
      <c r="I85">
        <v>63</v>
      </c>
      <c r="J85">
        <v>112.69</v>
      </c>
      <c r="K85">
        <v>0</v>
      </c>
      <c r="L85">
        <v>0</v>
      </c>
      <c r="M85">
        <v>9</v>
      </c>
      <c r="N85">
        <v>2</v>
      </c>
    </row>
    <row r="86" spans="1:14" x14ac:dyDescent="0.3">
      <c r="A86" t="s">
        <v>259</v>
      </c>
      <c r="B86" t="s">
        <v>23</v>
      </c>
      <c r="C86">
        <v>70</v>
      </c>
      <c r="D86">
        <v>8</v>
      </c>
      <c r="E86">
        <v>3</v>
      </c>
      <c r="F86">
        <v>1</v>
      </c>
      <c r="G86" t="s">
        <v>260</v>
      </c>
      <c r="H86" t="s">
        <v>261</v>
      </c>
      <c r="I86">
        <v>24</v>
      </c>
      <c r="J86">
        <v>291.66000000000003</v>
      </c>
      <c r="K86">
        <v>0</v>
      </c>
      <c r="L86">
        <v>1</v>
      </c>
      <c r="M86">
        <v>5</v>
      </c>
      <c r="N86">
        <v>7</v>
      </c>
    </row>
    <row r="87" spans="1:14" x14ac:dyDescent="0.3">
      <c r="A87" t="s">
        <v>262</v>
      </c>
      <c r="B87" t="s">
        <v>88</v>
      </c>
      <c r="C87">
        <v>68</v>
      </c>
      <c r="D87">
        <v>3</v>
      </c>
      <c r="E87">
        <v>3</v>
      </c>
      <c r="F87">
        <v>0</v>
      </c>
      <c r="G87" t="s">
        <v>243</v>
      </c>
      <c r="H87" t="s">
        <v>263</v>
      </c>
      <c r="I87">
        <v>32</v>
      </c>
      <c r="J87">
        <v>212.5</v>
      </c>
      <c r="K87">
        <v>0</v>
      </c>
      <c r="L87">
        <v>0</v>
      </c>
      <c r="M87">
        <v>5</v>
      </c>
      <c r="N87">
        <v>6</v>
      </c>
    </row>
    <row r="88" spans="1:14" x14ac:dyDescent="0.3">
      <c r="A88" t="s">
        <v>264</v>
      </c>
      <c r="B88" t="s">
        <v>23</v>
      </c>
      <c r="C88">
        <v>67</v>
      </c>
      <c r="D88">
        <v>2</v>
      </c>
      <c r="E88">
        <v>2</v>
      </c>
      <c r="F88">
        <v>0</v>
      </c>
      <c r="G88" t="s">
        <v>265</v>
      </c>
      <c r="H88" t="s">
        <v>266</v>
      </c>
      <c r="I88">
        <v>39</v>
      </c>
      <c r="J88">
        <v>171.79</v>
      </c>
      <c r="K88">
        <v>0</v>
      </c>
      <c r="L88">
        <v>1</v>
      </c>
      <c r="M88">
        <v>9</v>
      </c>
      <c r="N88">
        <v>3</v>
      </c>
    </row>
    <row r="89" spans="1:14" x14ac:dyDescent="0.3">
      <c r="A89" t="s">
        <v>267</v>
      </c>
      <c r="B89" t="s">
        <v>37</v>
      </c>
      <c r="C89">
        <v>63</v>
      </c>
      <c r="D89">
        <v>12</v>
      </c>
      <c r="E89">
        <v>7</v>
      </c>
      <c r="F89">
        <v>1</v>
      </c>
      <c r="G89" t="s">
        <v>268</v>
      </c>
      <c r="H89" t="s">
        <v>269</v>
      </c>
      <c r="I89">
        <v>50</v>
      </c>
      <c r="J89">
        <v>126</v>
      </c>
      <c r="K89">
        <v>0</v>
      </c>
      <c r="L89">
        <v>0</v>
      </c>
      <c r="M89">
        <v>3</v>
      </c>
      <c r="N89">
        <v>4</v>
      </c>
    </row>
    <row r="90" spans="1:14" x14ac:dyDescent="0.3">
      <c r="A90" t="s">
        <v>270</v>
      </c>
      <c r="B90" t="s">
        <v>53</v>
      </c>
      <c r="C90">
        <v>61</v>
      </c>
      <c r="D90">
        <v>8</v>
      </c>
      <c r="E90">
        <v>5</v>
      </c>
      <c r="F90">
        <v>0</v>
      </c>
      <c r="G90" t="s">
        <v>129</v>
      </c>
      <c r="H90" t="s">
        <v>271</v>
      </c>
      <c r="I90">
        <v>61</v>
      </c>
      <c r="J90">
        <v>100</v>
      </c>
      <c r="K90">
        <v>0</v>
      </c>
      <c r="L90">
        <v>0</v>
      </c>
      <c r="M90">
        <v>2</v>
      </c>
      <c r="N90">
        <v>4</v>
      </c>
    </row>
    <row r="91" spans="1:14" x14ac:dyDescent="0.3">
      <c r="A91" t="s">
        <v>272</v>
      </c>
      <c r="B91" t="s">
        <v>33</v>
      </c>
      <c r="C91">
        <v>57</v>
      </c>
      <c r="D91">
        <v>9</v>
      </c>
      <c r="E91">
        <v>5</v>
      </c>
      <c r="F91">
        <v>1</v>
      </c>
      <c r="G91" t="s">
        <v>273</v>
      </c>
      <c r="H91" t="s">
        <v>274</v>
      </c>
      <c r="I91">
        <v>41</v>
      </c>
      <c r="J91">
        <v>139.02000000000001</v>
      </c>
      <c r="K91">
        <v>0</v>
      </c>
      <c r="L91">
        <v>0</v>
      </c>
      <c r="M91">
        <v>6</v>
      </c>
      <c r="N91">
        <v>3</v>
      </c>
    </row>
    <row r="92" spans="1:14" x14ac:dyDescent="0.3">
      <c r="A92" t="s">
        <v>275</v>
      </c>
      <c r="B92" t="s">
        <v>75</v>
      </c>
      <c r="C92">
        <v>57</v>
      </c>
      <c r="D92">
        <v>13</v>
      </c>
      <c r="E92">
        <v>7</v>
      </c>
      <c r="F92">
        <v>3</v>
      </c>
      <c r="G92" t="s">
        <v>276</v>
      </c>
      <c r="H92" t="s">
        <v>274</v>
      </c>
      <c r="I92">
        <v>53</v>
      </c>
      <c r="J92">
        <v>107.54</v>
      </c>
      <c r="K92">
        <v>0</v>
      </c>
      <c r="L92">
        <v>0</v>
      </c>
      <c r="M92">
        <v>5</v>
      </c>
      <c r="N92">
        <v>3</v>
      </c>
    </row>
    <row r="93" spans="1:14" x14ac:dyDescent="0.3">
      <c r="A93" t="s">
        <v>277</v>
      </c>
      <c r="B93" t="s">
        <v>44</v>
      </c>
      <c r="C93">
        <v>55</v>
      </c>
      <c r="D93">
        <v>6</v>
      </c>
      <c r="E93">
        <v>6</v>
      </c>
      <c r="F93">
        <v>0</v>
      </c>
      <c r="G93" t="s">
        <v>278</v>
      </c>
      <c r="H93" t="s">
        <v>279</v>
      </c>
      <c r="I93">
        <v>52</v>
      </c>
      <c r="J93">
        <v>105.76</v>
      </c>
      <c r="K93">
        <v>0</v>
      </c>
      <c r="L93">
        <v>0</v>
      </c>
      <c r="M93">
        <v>7</v>
      </c>
      <c r="N93">
        <v>2</v>
      </c>
    </row>
    <row r="94" spans="1:14" x14ac:dyDescent="0.3">
      <c r="A94" t="s">
        <v>280</v>
      </c>
      <c r="B94" t="s">
        <v>88</v>
      </c>
      <c r="C94">
        <v>55</v>
      </c>
      <c r="D94">
        <v>5</v>
      </c>
      <c r="E94">
        <v>5</v>
      </c>
      <c r="F94">
        <v>0</v>
      </c>
      <c r="G94" t="s">
        <v>281</v>
      </c>
      <c r="H94" t="s">
        <v>282</v>
      </c>
      <c r="I94">
        <v>57</v>
      </c>
      <c r="J94">
        <v>96.49</v>
      </c>
      <c r="K94">
        <v>0</v>
      </c>
      <c r="L94">
        <v>0</v>
      </c>
      <c r="M94">
        <v>6</v>
      </c>
      <c r="N94">
        <v>1</v>
      </c>
    </row>
    <row r="95" spans="1:14" x14ac:dyDescent="0.3">
      <c r="A95" t="s">
        <v>283</v>
      </c>
      <c r="B95" t="s">
        <v>33</v>
      </c>
      <c r="C95">
        <v>48</v>
      </c>
      <c r="D95">
        <v>7</v>
      </c>
      <c r="E95">
        <v>6</v>
      </c>
      <c r="F95">
        <v>0</v>
      </c>
      <c r="G95" t="s">
        <v>268</v>
      </c>
      <c r="H95" t="s">
        <v>284</v>
      </c>
      <c r="I95">
        <v>49</v>
      </c>
      <c r="J95">
        <v>97.95</v>
      </c>
      <c r="K95">
        <v>0</v>
      </c>
      <c r="L95">
        <v>0</v>
      </c>
      <c r="M95">
        <v>5</v>
      </c>
      <c r="N95">
        <v>1</v>
      </c>
    </row>
    <row r="96" spans="1:14" x14ac:dyDescent="0.3">
      <c r="A96" t="s">
        <v>285</v>
      </c>
      <c r="B96" t="s">
        <v>19</v>
      </c>
      <c r="C96">
        <v>47</v>
      </c>
      <c r="D96">
        <v>2</v>
      </c>
      <c r="E96">
        <v>2</v>
      </c>
      <c r="F96">
        <v>0</v>
      </c>
      <c r="G96" t="s">
        <v>257</v>
      </c>
      <c r="H96" t="s">
        <v>286</v>
      </c>
      <c r="I96">
        <v>32</v>
      </c>
      <c r="J96">
        <v>146.87</v>
      </c>
      <c r="K96">
        <v>0</v>
      </c>
      <c r="L96">
        <v>0</v>
      </c>
      <c r="M96">
        <v>3</v>
      </c>
      <c r="N96">
        <v>3</v>
      </c>
    </row>
    <row r="97" spans="1:14" x14ac:dyDescent="0.3">
      <c r="A97" t="s">
        <v>287</v>
      </c>
      <c r="B97" t="s">
        <v>75</v>
      </c>
      <c r="C97">
        <v>47</v>
      </c>
      <c r="D97">
        <v>11</v>
      </c>
      <c r="E97">
        <v>7</v>
      </c>
      <c r="F97">
        <v>2</v>
      </c>
      <c r="G97" t="s">
        <v>288</v>
      </c>
      <c r="H97" t="s">
        <v>289</v>
      </c>
      <c r="I97">
        <v>35</v>
      </c>
      <c r="J97">
        <v>134.28</v>
      </c>
      <c r="K97">
        <v>0</v>
      </c>
      <c r="L97">
        <v>0</v>
      </c>
      <c r="M97">
        <v>1</v>
      </c>
      <c r="N97">
        <v>4</v>
      </c>
    </row>
    <row r="98" spans="1:14" x14ac:dyDescent="0.3">
      <c r="A98" t="s">
        <v>290</v>
      </c>
      <c r="B98" t="s">
        <v>15</v>
      </c>
      <c r="C98">
        <v>40</v>
      </c>
      <c r="D98">
        <v>15</v>
      </c>
      <c r="E98">
        <v>8</v>
      </c>
      <c r="F98">
        <v>3</v>
      </c>
      <c r="G98" t="s">
        <v>291</v>
      </c>
      <c r="H98" t="s">
        <v>284</v>
      </c>
      <c r="I98">
        <v>28</v>
      </c>
      <c r="J98">
        <v>142.85</v>
      </c>
      <c r="K98">
        <v>0</v>
      </c>
      <c r="L98">
        <v>0</v>
      </c>
      <c r="M98">
        <v>2</v>
      </c>
      <c r="N98">
        <v>3</v>
      </c>
    </row>
    <row r="99" spans="1:14" x14ac:dyDescent="0.3">
      <c r="A99" t="s">
        <v>292</v>
      </c>
      <c r="B99" t="s">
        <v>19</v>
      </c>
      <c r="C99">
        <v>40</v>
      </c>
      <c r="D99">
        <v>13</v>
      </c>
      <c r="E99">
        <v>8</v>
      </c>
      <c r="F99">
        <v>6</v>
      </c>
      <c r="G99" t="s">
        <v>293</v>
      </c>
      <c r="H99" t="s">
        <v>294</v>
      </c>
      <c r="I99">
        <v>33</v>
      </c>
      <c r="J99">
        <v>121.21</v>
      </c>
      <c r="K99">
        <v>0</v>
      </c>
      <c r="L99">
        <v>0</v>
      </c>
      <c r="M99">
        <v>2</v>
      </c>
      <c r="N99">
        <v>3</v>
      </c>
    </row>
    <row r="100" spans="1:14" x14ac:dyDescent="0.3">
      <c r="A100" t="s">
        <v>295</v>
      </c>
      <c r="B100" t="s">
        <v>19</v>
      </c>
      <c r="C100">
        <v>37</v>
      </c>
      <c r="D100">
        <v>14</v>
      </c>
      <c r="E100">
        <v>4</v>
      </c>
      <c r="F100">
        <v>3</v>
      </c>
      <c r="G100" t="s">
        <v>296</v>
      </c>
      <c r="H100" t="s">
        <v>100</v>
      </c>
      <c r="I100">
        <v>25</v>
      </c>
      <c r="J100">
        <v>148</v>
      </c>
      <c r="K100">
        <v>0</v>
      </c>
      <c r="L100">
        <v>0</v>
      </c>
      <c r="M100">
        <v>3</v>
      </c>
      <c r="N100">
        <v>2</v>
      </c>
    </row>
    <row r="101" spans="1:14" x14ac:dyDescent="0.3">
      <c r="A101" t="s">
        <v>297</v>
      </c>
      <c r="B101" t="s">
        <v>88</v>
      </c>
      <c r="C101">
        <v>33</v>
      </c>
      <c r="D101">
        <v>9</v>
      </c>
      <c r="E101">
        <v>4</v>
      </c>
      <c r="F101">
        <v>0</v>
      </c>
      <c r="G101" t="s">
        <v>298</v>
      </c>
      <c r="H101" t="s">
        <v>299</v>
      </c>
      <c r="I101">
        <v>30</v>
      </c>
      <c r="J101">
        <v>110</v>
      </c>
      <c r="K101">
        <v>0</v>
      </c>
      <c r="L101">
        <v>0</v>
      </c>
      <c r="M101">
        <v>3</v>
      </c>
      <c r="N101">
        <v>1</v>
      </c>
    </row>
    <row r="102" spans="1:14" x14ac:dyDescent="0.3">
      <c r="A102" t="s">
        <v>300</v>
      </c>
      <c r="B102" t="s">
        <v>88</v>
      </c>
      <c r="C102">
        <v>31</v>
      </c>
      <c r="D102">
        <v>7</v>
      </c>
      <c r="E102">
        <v>5</v>
      </c>
      <c r="F102">
        <v>0</v>
      </c>
      <c r="G102" t="s">
        <v>288</v>
      </c>
      <c r="H102" t="s">
        <v>301</v>
      </c>
      <c r="I102">
        <v>41</v>
      </c>
      <c r="J102">
        <v>75.599999999999994</v>
      </c>
      <c r="K102">
        <v>0</v>
      </c>
      <c r="L102">
        <v>0</v>
      </c>
      <c r="M102">
        <v>2</v>
      </c>
      <c r="N102">
        <v>1</v>
      </c>
    </row>
    <row r="103" spans="1:14" x14ac:dyDescent="0.3">
      <c r="A103" t="s">
        <v>302</v>
      </c>
      <c r="B103" t="s">
        <v>15</v>
      </c>
      <c r="C103">
        <v>23</v>
      </c>
      <c r="D103">
        <v>9</v>
      </c>
      <c r="E103">
        <v>5</v>
      </c>
      <c r="F103">
        <v>3</v>
      </c>
      <c r="G103" t="s">
        <v>303</v>
      </c>
      <c r="H103" t="s">
        <v>304</v>
      </c>
      <c r="I103">
        <v>19</v>
      </c>
      <c r="J103">
        <v>121.05</v>
      </c>
      <c r="K103">
        <v>0</v>
      </c>
      <c r="L103">
        <v>0</v>
      </c>
      <c r="M103">
        <v>0</v>
      </c>
      <c r="N103">
        <v>3</v>
      </c>
    </row>
    <row r="104" spans="1:14" x14ac:dyDescent="0.3">
      <c r="A104" t="s">
        <v>305</v>
      </c>
      <c r="B104" t="s">
        <v>44</v>
      </c>
      <c r="C104">
        <v>22</v>
      </c>
      <c r="D104">
        <v>1</v>
      </c>
      <c r="E104">
        <v>1</v>
      </c>
      <c r="F104">
        <v>0</v>
      </c>
      <c r="G104" t="s">
        <v>288</v>
      </c>
      <c r="H104" t="s">
        <v>306</v>
      </c>
      <c r="I104">
        <v>16</v>
      </c>
      <c r="J104">
        <v>137.5</v>
      </c>
      <c r="K104">
        <v>0</v>
      </c>
      <c r="L104">
        <v>0</v>
      </c>
      <c r="M104">
        <v>0</v>
      </c>
      <c r="N104">
        <v>2</v>
      </c>
    </row>
    <row r="105" spans="1:14" x14ac:dyDescent="0.3">
      <c r="A105" t="s">
        <v>307</v>
      </c>
      <c r="B105" t="s">
        <v>29</v>
      </c>
      <c r="C105">
        <v>21</v>
      </c>
      <c r="D105">
        <v>13</v>
      </c>
      <c r="E105">
        <v>4</v>
      </c>
      <c r="F105">
        <v>3</v>
      </c>
      <c r="G105" t="s">
        <v>308</v>
      </c>
      <c r="H105" t="s">
        <v>309</v>
      </c>
      <c r="I105">
        <v>12</v>
      </c>
      <c r="J105">
        <v>175</v>
      </c>
      <c r="K105">
        <v>0</v>
      </c>
      <c r="L105">
        <v>0</v>
      </c>
      <c r="M105">
        <v>3</v>
      </c>
      <c r="N105">
        <v>1</v>
      </c>
    </row>
    <row r="106" spans="1:14" x14ac:dyDescent="0.3">
      <c r="A106" t="s">
        <v>310</v>
      </c>
      <c r="B106" t="s">
        <v>53</v>
      </c>
      <c r="C106">
        <v>21</v>
      </c>
      <c r="D106">
        <v>13</v>
      </c>
      <c r="E106">
        <v>4</v>
      </c>
      <c r="F106">
        <v>2</v>
      </c>
      <c r="G106" t="s">
        <v>311</v>
      </c>
      <c r="H106" t="s">
        <v>269</v>
      </c>
      <c r="I106">
        <v>26</v>
      </c>
      <c r="J106">
        <v>80.760000000000005</v>
      </c>
      <c r="K106">
        <v>0</v>
      </c>
      <c r="L106">
        <v>0</v>
      </c>
      <c r="M106">
        <v>0</v>
      </c>
      <c r="N106">
        <v>0</v>
      </c>
    </row>
    <row r="107" spans="1:14" x14ac:dyDescent="0.3">
      <c r="A107" t="s">
        <v>312</v>
      </c>
      <c r="B107" t="s">
        <v>15</v>
      </c>
      <c r="C107">
        <v>20</v>
      </c>
      <c r="D107">
        <v>1</v>
      </c>
      <c r="E107">
        <v>1</v>
      </c>
      <c r="F107">
        <v>0</v>
      </c>
      <c r="G107" t="s">
        <v>303</v>
      </c>
      <c r="H107" t="s">
        <v>294</v>
      </c>
      <c r="I107">
        <v>10</v>
      </c>
      <c r="J107">
        <v>200</v>
      </c>
      <c r="K107">
        <v>0</v>
      </c>
      <c r="L107">
        <v>0</v>
      </c>
      <c r="M107">
        <v>1</v>
      </c>
      <c r="N107">
        <v>2</v>
      </c>
    </row>
    <row r="108" spans="1:14" x14ac:dyDescent="0.3">
      <c r="A108" t="s">
        <v>313</v>
      </c>
      <c r="B108" t="s">
        <v>29</v>
      </c>
      <c r="C108">
        <v>18</v>
      </c>
      <c r="D108">
        <v>10</v>
      </c>
      <c r="E108">
        <v>5</v>
      </c>
      <c r="F108">
        <v>2</v>
      </c>
      <c r="G108" t="s">
        <v>314</v>
      </c>
      <c r="H108" t="s">
        <v>315</v>
      </c>
      <c r="I108">
        <v>12</v>
      </c>
      <c r="J108">
        <v>150</v>
      </c>
      <c r="K108">
        <v>0</v>
      </c>
      <c r="L108">
        <v>0</v>
      </c>
      <c r="M108">
        <v>3</v>
      </c>
      <c r="N108">
        <v>0</v>
      </c>
    </row>
    <row r="109" spans="1:14" x14ac:dyDescent="0.3">
      <c r="A109" t="s">
        <v>316</v>
      </c>
      <c r="B109" t="s">
        <v>44</v>
      </c>
      <c r="C109">
        <v>18</v>
      </c>
      <c r="D109">
        <v>14</v>
      </c>
      <c r="E109">
        <v>5</v>
      </c>
      <c r="F109">
        <v>2</v>
      </c>
      <c r="G109" t="s">
        <v>317</v>
      </c>
      <c r="H109" t="s">
        <v>315</v>
      </c>
      <c r="I109">
        <v>16</v>
      </c>
      <c r="J109">
        <v>112.5</v>
      </c>
      <c r="K109">
        <v>0</v>
      </c>
      <c r="L109">
        <v>0</v>
      </c>
      <c r="M109">
        <v>2</v>
      </c>
      <c r="N109">
        <v>0</v>
      </c>
    </row>
    <row r="110" spans="1:14" x14ac:dyDescent="0.3">
      <c r="A110" t="s">
        <v>318</v>
      </c>
      <c r="B110" t="s">
        <v>15</v>
      </c>
      <c r="C110">
        <v>17</v>
      </c>
      <c r="D110">
        <v>4</v>
      </c>
      <c r="E110">
        <v>2</v>
      </c>
      <c r="F110">
        <v>0</v>
      </c>
      <c r="G110" t="s">
        <v>291</v>
      </c>
      <c r="H110" t="s">
        <v>319</v>
      </c>
      <c r="I110">
        <v>11</v>
      </c>
      <c r="J110">
        <v>154.54</v>
      </c>
      <c r="K110">
        <v>0</v>
      </c>
      <c r="L110">
        <v>0</v>
      </c>
      <c r="M110">
        <v>2</v>
      </c>
      <c r="N110">
        <v>1</v>
      </c>
    </row>
    <row r="111" spans="1:14" x14ac:dyDescent="0.3">
      <c r="A111" t="s">
        <v>320</v>
      </c>
      <c r="B111" t="s">
        <v>88</v>
      </c>
      <c r="C111">
        <v>15</v>
      </c>
      <c r="D111">
        <v>3</v>
      </c>
      <c r="E111">
        <v>2</v>
      </c>
      <c r="F111">
        <v>2</v>
      </c>
      <c r="G111" t="s">
        <v>321</v>
      </c>
      <c r="H111" t="s">
        <v>322</v>
      </c>
      <c r="I111">
        <v>7</v>
      </c>
      <c r="J111">
        <v>214.28</v>
      </c>
      <c r="K111">
        <v>0</v>
      </c>
      <c r="L111">
        <v>0</v>
      </c>
      <c r="M111">
        <v>1</v>
      </c>
      <c r="N111">
        <v>1</v>
      </c>
    </row>
    <row r="112" spans="1:14" x14ac:dyDescent="0.3">
      <c r="A112" t="s">
        <v>323</v>
      </c>
      <c r="B112" t="s">
        <v>88</v>
      </c>
      <c r="C112">
        <v>14</v>
      </c>
      <c r="D112">
        <v>8</v>
      </c>
      <c r="E112">
        <v>5</v>
      </c>
      <c r="F112">
        <v>3</v>
      </c>
      <c r="G112" t="s">
        <v>324</v>
      </c>
      <c r="H112" t="s">
        <v>325</v>
      </c>
      <c r="I112">
        <v>12</v>
      </c>
      <c r="J112">
        <v>116.66</v>
      </c>
      <c r="K112">
        <v>0</v>
      </c>
      <c r="L112">
        <v>0</v>
      </c>
      <c r="M112">
        <v>2</v>
      </c>
      <c r="N112">
        <v>0</v>
      </c>
    </row>
    <row r="113" spans="1:14" x14ac:dyDescent="0.3">
      <c r="A113" t="s">
        <v>326</v>
      </c>
      <c r="B113" t="s">
        <v>29</v>
      </c>
      <c r="C113">
        <v>14</v>
      </c>
      <c r="D113">
        <v>1</v>
      </c>
      <c r="E113">
        <v>1</v>
      </c>
      <c r="F113">
        <v>0</v>
      </c>
      <c r="G113" t="s">
        <v>327</v>
      </c>
      <c r="H113" t="s">
        <v>328</v>
      </c>
      <c r="I113">
        <v>12</v>
      </c>
      <c r="J113">
        <v>116.66</v>
      </c>
      <c r="K113">
        <v>0</v>
      </c>
      <c r="L113">
        <v>0</v>
      </c>
      <c r="M113">
        <v>1</v>
      </c>
      <c r="N113">
        <v>1</v>
      </c>
    </row>
    <row r="114" spans="1:14" x14ac:dyDescent="0.3">
      <c r="A114" t="s">
        <v>329</v>
      </c>
      <c r="B114" t="s">
        <v>23</v>
      </c>
      <c r="C114">
        <v>14</v>
      </c>
      <c r="D114">
        <v>14</v>
      </c>
      <c r="E114">
        <v>6</v>
      </c>
      <c r="F114">
        <v>3</v>
      </c>
      <c r="G114" t="s">
        <v>330</v>
      </c>
      <c r="H114" t="s">
        <v>331</v>
      </c>
      <c r="I114">
        <v>25</v>
      </c>
      <c r="J114">
        <v>56</v>
      </c>
      <c r="K114">
        <v>0</v>
      </c>
      <c r="L114">
        <v>0</v>
      </c>
      <c r="M114">
        <v>1</v>
      </c>
      <c r="N114">
        <v>0</v>
      </c>
    </row>
    <row r="115" spans="1:14" x14ac:dyDescent="0.3">
      <c r="A115" t="s">
        <v>332</v>
      </c>
      <c r="B115" t="s">
        <v>53</v>
      </c>
      <c r="C115">
        <v>13</v>
      </c>
      <c r="D115">
        <v>1</v>
      </c>
      <c r="E115">
        <v>1</v>
      </c>
      <c r="F115">
        <v>0</v>
      </c>
      <c r="G115" t="s">
        <v>298</v>
      </c>
      <c r="H115" t="s">
        <v>333</v>
      </c>
      <c r="I115">
        <v>9</v>
      </c>
      <c r="J115">
        <v>144.44</v>
      </c>
      <c r="K115">
        <v>0</v>
      </c>
      <c r="L115">
        <v>0</v>
      </c>
      <c r="M115">
        <v>3</v>
      </c>
      <c r="N115">
        <v>0</v>
      </c>
    </row>
    <row r="116" spans="1:14" x14ac:dyDescent="0.3">
      <c r="A116" t="s">
        <v>334</v>
      </c>
      <c r="B116" t="s">
        <v>29</v>
      </c>
      <c r="C116">
        <v>13</v>
      </c>
      <c r="D116">
        <v>11</v>
      </c>
      <c r="E116">
        <v>3</v>
      </c>
      <c r="F116">
        <v>1</v>
      </c>
      <c r="G116" t="s">
        <v>298</v>
      </c>
      <c r="H116" t="s">
        <v>335</v>
      </c>
      <c r="I116">
        <v>16</v>
      </c>
      <c r="J116">
        <v>81.25</v>
      </c>
      <c r="K116">
        <v>0</v>
      </c>
      <c r="L116">
        <v>0</v>
      </c>
      <c r="M116">
        <v>0</v>
      </c>
      <c r="N116">
        <v>2</v>
      </c>
    </row>
    <row r="117" spans="1:14" x14ac:dyDescent="0.3">
      <c r="A117" t="s">
        <v>336</v>
      </c>
      <c r="B117" t="s">
        <v>33</v>
      </c>
      <c r="C117">
        <v>11</v>
      </c>
      <c r="D117">
        <v>8</v>
      </c>
      <c r="E117">
        <v>2</v>
      </c>
      <c r="F117">
        <v>1</v>
      </c>
      <c r="G117" t="s">
        <v>337</v>
      </c>
      <c r="H117" t="s">
        <v>282</v>
      </c>
      <c r="I117">
        <v>13</v>
      </c>
      <c r="J117">
        <v>84.61</v>
      </c>
      <c r="K117">
        <v>0</v>
      </c>
      <c r="L117">
        <v>0</v>
      </c>
      <c r="M117">
        <v>0</v>
      </c>
      <c r="N117">
        <v>1</v>
      </c>
    </row>
    <row r="118" spans="1:14" x14ac:dyDescent="0.3">
      <c r="A118" t="s">
        <v>338</v>
      </c>
      <c r="B118" t="s">
        <v>33</v>
      </c>
      <c r="C118">
        <v>11</v>
      </c>
      <c r="D118">
        <v>4</v>
      </c>
      <c r="E118">
        <v>1</v>
      </c>
      <c r="F118">
        <v>0</v>
      </c>
      <c r="G118" t="s">
        <v>339</v>
      </c>
      <c r="H118" t="s">
        <v>282</v>
      </c>
      <c r="I118">
        <v>15</v>
      </c>
      <c r="J118">
        <v>73.33</v>
      </c>
      <c r="K118">
        <v>0</v>
      </c>
      <c r="L118">
        <v>0</v>
      </c>
      <c r="M118">
        <v>1</v>
      </c>
      <c r="N118">
        <v>0</v>
      </c>
    </row>
    <row r="119" spans="1:14" x14ac:dyDescent="0.3">
      <c r="A119" t="s">
        <v>340</v>
      </c>
      <c r="B119" t="s">
        <v>53</v>
      </c>
      <c r="C119">
        <v>10</v>
      </c>
      <c r="D119">
        <v>9</v>
      </c>
      <c r="E119">
        <v>4</v>
      </c>
      <c r="F119">
        <v>3</v>
      </c>
      <c r="G119" t="s">
        <v>341</v>
      </c>
      <c r="H119" t="s">
        <v>342</v>
      </c>
      <c r="I119">
        <v>10</v>
      </c>
      <c r="J119">
        <v>100</v>
      </c>
      <c r="K119">
        <v>0</v>
      </c>
      <c r="L119">
        <v>0</v>
      </c>
      <c r="M119">
        <v>1</v>
      </c>
      <c r="N119">
        <v>0</v>
      </c>
    </row>
    <row r="120" spans="1:14" x14ac:dyDescent="0.3">
      <c r="A120" t="s">
        <v>343</v>
      </c>
      <c r="B120" t="s">
        <v>44</v>
      </c>
      <c r="C120">
        <v>10</v>
      </c>
      <c r="D120">
        <v>6</v>
      </c>
      <c r="E120">
        <v>3</v>
      </c>
      <c r="F120">
        <v>3</v>
      </c>
      <c r="G120" t="s">
        <v>344</v>
      </c>
      <c r="H120" t="s">
        <v>322</v>
      </c>
      <c r="I120">
        <v>14</v>
      </c>
      <c r="J120">
        <v>71.42</v>
      </c>
      <c r="K120">
        <v>0</v>
      </c>
      <c r="L120">
        <v>0</v>
      </c>
      <c r="M120">
        <v>0</v>
      </c>
      <c r="N120">
        <v>0</v>
      </c>
    </row>
    <row r="121" spans="1:14" x14ac:dyDescent="0.3">
      <c r="A121" t="s">
        <v>345</v>
      </c>
      <c r="B121" t="s">
        <v>37</v>
      </c>
      <c r="C121">
        <v>10</v>
      </c>
      <c r="D121">
        <v>11</v>
      </c>
      <c r="E121">
        <v>4</v>
      </c>
      <c r="F121">
        <v>2</v>
      </c>
      <c r="G121" t="s">
        <v>346</v>
      </c>
      <c r="H121" t="s">
        <v>347</v>
      </c>
      <c r="I121">
        <v>27</v>
      </c>
      <c r="J121">
        <v>37.03</v>
      </c>
      <c r="K121">
        <v>0</v>
      </c>
      <c r="L121">
        <v>0</v>
      </c>
      <c r="M121">
        <v>0</v>
      </c>
      <c r="N121">
        <v>0</v>
      </c>
    </row>
    <row r="122" spans="1:14" x14ac:dyDescent="0.3">
      <c r="A122" t="s">
        <v>348</v>
      </c>
      <c r="B122" t="s">
        <v>15</v>
      </c>
      <c r="C122">
        <v>9</v>
      </c>
      <c r="D122">
        <v>4</v>
      </c>
      <c r="E122">
        <v>2</v>
      </c>
      <c r="F122">
        <v>1</v>
      </c>
      <c r="G122" t="s">
        <v>337</v>
      </c>
      <c r="H122" t="s">
        <v>349</v>
      </c>
      <c r="I122">
        <v>8</v>
      </c>
      <c r="J122">
        <v>112.5</v>
      </c>
      <c r="K122">
        <v>0</v>
      </c>
      <c r="L122">
        <v>0</v>
      </c>
      <c r="M122">
        <v>0</v>
      </c>
      <c r="N122">
        <v>1</v>
      </c>
    </row>
    <row r="123" spans="1:14" x14ac:dyDescent="0.3">
      <c r="A123" t="s">
        <v>350</v>
      </c>
      <c r="B123" t="s">
        <v>29</v>
      </c>
      <c r="C123">
        <v>9</v>
      </c>
      <c r="D123">
        <v>3</v>
      </c>
      <c r="E123">
        <v>1</v>
      </c>
      <c r="F123">
        <v>0</v>
      </c>
      <c r="G123" t="s">
        <v>351</v>
      </c>
      <c r="H123" t="s">
        <v>349</v>
      </c>
      <c r="I123">
        <v>8</v>
      </c>
      <c r="J123">
        <v>112.5</v>
      </c>
      <c r="K123">
        <v>0</v>
      </c>
      <c r="L123">
        <v>0</v>
      </c>
      <c r="M123">
        <v>1</v>
      </c>
      <c r="N123">
        <v>0</v>
      </c>
    </row>
    <row r="124" spans="1:14" x14ac:dyDescent="0.3">
      <c r="A124" t="s">
        <v>352</v>
      </c>
      <c r="B124" t="s">
        <v>53</v>
      </c>
      <c r="C124">
        <v>9</v>
      </c>
      <c r="D124">
        <v>1</v>
      </c>
      <c r="E124">
        <v>1</v>
      </c>
      <c r="F124">
        <v>0</v>
      </c>
      <c r="G124" t="s">
        <v>351</v>
      </c>
      <c r="H124" t="s">
        <v>349</v>
      </c>
      <c r="I124">
        <v>11</v>
      </c>
      <c r="J124">
        <v>81.81</v>
      </c>
      <c r="K124">
        <v>0</v>
      </c>
      <c r="L124">
        <v>0</v>
      </c>
      <c r="M124">
        <v>1</v>
      </c>
      <c r="N124">
        <v>0</v>
      </c>
    </row>
    <row r="125" spans="1:14" x14ac:dyDescent="0.3">
      <c r="A125" t="s">
        <v>353</v>
      </c>
      <c r="B125" t="s">
        <v>37</v>
      </c>
      <c r="C125">
        <v>9</v>
      </c>
      <c r="D125">
        <v>11</v>
      </c>
      <c r="E125">
        <v>5</v>
      </c>
      <c r="F125">
        <v>0</v>
      </c>
      <c r="G125" t="s">
        <v>354</v>
      </c>
      <c r="H125" t="s">
        <v>355</v>
      </c>
      <c r="I125">
        <v>15</v>
      </c>
      <c r="J125">
        <v>60</v>
      </c>
      <c r="K125">
        <v>0</v>
      </c>
      <c r="L125">
        <v>0</v>
      </c>
      <c r="M125">
        <v>0</v>
      </c>
      <c r="N125">
        <v>0</v>
      </c>
    </row>
    <row r="126" spans="1:14" x14ac:dyDescent="0.3">
      <c r="A126" t="s">
        <v>356</v>
      </c>
      <c r="B126" t="s">
        <v>37</v>
      </c>
      <c r="C126">
        <v>8</v>
      </c>
      <c r="D126">
        <v>2</v>
      </c>
      <c r="E126">
        <v>1</v>
      </c>
      <c r="F126">
        <v>1</v>
      </c>
      <c r="G126" t="s">
        <v>344</v>
      </c>
      <c r="H126" t="s">
        <v>322</v>
      </c>
      <c r="I126">
        <v>2</v>
      </c>
      <c r="J126">
        <v>400</v>
      </c>
      <c r="K126">
        <v>0</v>
      </c>
      <c r="L126">
        <v>0</v>
      </c>
      <c r="M126">
        <v>2</v>
      </c>
      <c r="N126">
        <v>0</v>
      </c>
    </row>
    <row r="127" spans="1:14" x14ac:dyDescent="0.3">
      <c r="A127" t="s">
        <v>357</v>
      </c>
      <c r="B127" t="s">
        <v>19</v>
      </c>
      <c r="C127">
        <v>8</v>
      </c>
      <c r="D127">
        <v>3</v>
      </c>
      <c r="E127">
        <v>1</v>
      </c>
      <c r="F127">
        <v>1</v>
      </c>
      <c r="G127" t="s">
        <v>344</v>
      </c>
      <c r="H127" t="s">
        <v>322</v>
      </c>
      <c r="I127">
        <v>4</v>
      </c>
      <c r="J127">
        <v>200</v>
      </c>
      <c r="K127">
        <v>0</v>
      </c>
      <c r="L127">
        <v>0</v>
      </c>
      <c r="M127">
        <v>0</v>
      </c>
      <c r="N127">
        <v>0</v>
      </c>
    </row>
    <row r="128" spans="1:14" x14ac:dyDescent="0.3">
      <c r="A128" t="s">
        <v>358</v>
      </c>
      <c r="B128" t="s">
        <v>37</v>
      </c>
      <c r="C128">
        <v>7</v>
      </c>
      <c r="D128">
        <v>10</v>
      </c>
      <c r="E128">
        <v>4</v>
      </c>
      <c r="F128">
        <v>3</v>
      </c>
      <c r="G128" t="s">
        <v>359</v>
      </c>
      <c r="H128" t="s">
        <v>325</v>
      </c>
      <c r="I128">
        <v>8</v>
      </c>
      <c r="J128">
        <v>87.5</v>
      </c>
      <c r="K128">
        <v>0</v>
      </c>
      <c r="L128">
        <v>0</v>
      </c>
      <c r="M128">
        <v>0</v>
      </c>
      <c r="N128">
        <v>0</v>
      </c>
    </row>
    <row r="129" spans="1:14" x14ac:dyDescent="0.3">
      <c r="A129" t="s">
        <v>360</v>
      </c>
      <c r="B129" t="s">
        <v>33</v>
      </c>
      <c r="C129">
        <v>7</v>
      </c>
      <c r="D129">
        <v>5</v>
      </c>
      <c r="E129">
        <v>3</v>
      </c>
      <c r="F129">
        <v>0</v>
      </c>
      <c r="G129" t="s">
        <v>354</v>
      </c>
      <c r="H129" t="s">
        <v>361</v>
      </c>
      <c r="I129">
        <v>11</v>
      </c>
      <c r="J129">
        <v>63.63</v>
      </c>
      <c r="K129">
        <v>0</v>
      </c>
      <c r="L129">
        <v>0</v>
      </c>
      <c r="M129">
        <v>0</v>
      </c>
      <c r="N129">
        <v>0</v>
      </c>
    </row>
    <row r="130" spans="1:14" x14ac:dyDescent="0.3">
      <c r="A130" t="s">
        <v>362</v>
      </c>
      <c r="B130" t="s">
        <v>88</v>
      </c>
      <c r="C130">
        <v>7</v>
      </c>
      <c r="D130">
        <v>14</v>
      </c>
      <c r="E130">
        <v>6</v>
      </c>
      <c r="F130">
        <v>2</v>
      </c>
      <c r="G130" t="s">
        <v>363</v>
      </c>
      <c r="H130" t="s">
        <v>364</v>
      </c>
      <c r="I130">
        <v>17</v>
      </c>
      <c r="J130">
        <v>41.17</v>
      </c>
      <c r="K130">
        <v>0</v>
      </c>
      <c r="L130">
        <v>0</v>
      </c>
      <c r="M130">
        <v>0</v>
      </c>
      <c r="N130">
        <v>0</v>
      </c>
    </row>
    <row r="131" spans="1:14" x14ac:dyDescent="0.3">
      <c r="A131" t="s">
        <v>365</v>
      </c>
      <c r="B131" t="s">
        <v>29</v>
      </c>
      <c r="C131">
        <v>6</v>
      </c>
      <c r="D131">
        <v>6</v>
      </c>
      <c r="E131">
        <v>2</v>
      </c>
      <c r="F131">
        <v>1</v>
      </c>
      <c r="G131" t="s">
        <v>341</v>
      </c>
      <c r="H131" t="s">
        <v>315</v>
      </c>
      <c r="I131">
        <v>2</v>
      </c>
      <c r="J131">
        <v>300</v>
      </c>
      <c r="K131">
        <v>0</v>
      </c>
      <c r="L131">
        <v>0</v>
      </c>
      <c r="M131">
        <v>0</v>
      </c>
      <c r="N131">
        <v>1</v>
      </c>
    </row>
    <row r="132" spans="1:14" x14ac:dyDescent="0.3">
      <c r="A132" t="s">
        <v>366</v>
      </c>
      <c r="B132" t="s">
        <v>37</v>
      </c>
      <c r="C132">
        <v>6</v>
      </c>
      <c r="D132">
        <v>10</v>
      </c>
      <c r="E132">
        <v>1</v>
      </c>
      <c r="F132">
        <v>1</v>
      </c>
      <c r="G132" t="s">
        <v>341</v>
      </c>
      <c r="H132" t="s">
        <v>322</v>
      </c>
      <c r="I132">
        <v>5</v>
      </c>
      <c r="J132">
        <v>120</v>
      </c>
      <c r="K132">
        <v>0</v>
      </c>
      <c r="L132">
        <v>0</v>
      </c>
      <c r="M132">
        <v>0</v>
      </c>
      <c r="N132">
        <v>0</v>
      </c>
    </row>
    <row r="133" spans="1:14" x14ac:dyDescent="0.3">
      <c r="A133" t="s">
        <v>367</v>
      </c>
      <c r="B133" t="s">
        <v>44</v>
      </c>
      <c r="C133">
        <v>6</v>
      </c>
      <c r="D133">
        <v>11</v>
      </c>
      <c r="E133">
        <v>6</v>
      </c>
      <c r="F133">
        <v>4</v>
      </c>
      <c r="G133" t="s">
        <v>363</v>
      </c>
      <c r="H133" t="s">
        <v>368</v>
      </c>
      <c r="I133">
        <v>10</v>
      </c>
      <c r="J133">
        <v>60</v>
      </c>
      <c r="K133">
        <v>0</v>
      </c>
      <c r="L133">
        <v>0</v>
      </c>
      <c r="M133">
        <v>0</v>
      </c>
      <c r="N133">
        <v>0</v>
      </c>
    </row>
    <row r="134" spans="1:14" x14ac:dyDescent="0.3">
      <c r="A134" t="s">
        <v>369</v>
      </c>
      <c r="B134" t="s">
        <v>19</v>
      </c>
      <c r="C134">
        <v>6</v>
      </c>
      <c r="D134">
        <v>2</v>
      </c>
      <c r="E134">
        <v>2</v>
      </c>
      <c r="F134">
        <v>0</v>
      </c>
      <c r="G134" t="s">
        <v>359</v>
      </c>
      <c r="H134" t="s">
        <v>368</v>
      </c>
      <c r="I134">
        <v>15</v>
      </c>
      <c r="J134">
        <v>40</v>
      </c>
      <c r="K134">
        <v>0</v>
      </c>
      <c r="L134">
        <v>0</v>
      </c>
      <c r="M134">
        <v>0</v>
      </c>
      <c r="N134">
        <v>0</v>
      </c>
    </row>
    <row r="135" spans="1:14" x14ac:dyDescent="0.3">
      <c r="A135" t="s">
        <v>370</v>
      </c>
      <c r="B135" t="s">
        <v>75</v>
      </c>
      <c r="C135">
        <v>5</v>
      </c>
      <c r="D135">
        <v>2</v>
      </c>
      <c r="E135">
        <v>1</v>
      </c>
      <c r="F135">
        <v>0</v>
      </c>
      <c r="G135" t="s">
        <v>346</v>
      </c>
      <c r="H135" t="s">
        <v>347</v>
      </c>
      <c r="I135">
        <v>5</v>
      </c>
      <c r="J135">
        <v>100</v>
      </c>
      <c r="K135">
        <v>0</v>
      </c>
      <c r="L135">
        <v>0</v>
      </c>
      <c r="M135">
        <v>1</v>
      </c>
      <c r="N135">
        <v>0</v>
      </c>
    </row>
    <row r="136" spans="1:14" x14ac:dyDescent="0.3">
      <c r="A136" t="s">
        <v>371</v>
      </c>
      <c r="B136" t="s">
        <v>15</v>
      </c>
      <c r="C136">
        <v>5</v>
      </c>
      <c r="D136">
        <v>15</v>
      </c>
      <c r="E136">
        <v>3</v>
      </c>
      <c r="F136">
        <v>0</v>
      </c>
      <c r="G136" t="s">
        <v>359</v>
      </c>
      <c r="H136" t="s">
        <v>372</v>
      </c>
      <c r="I136">
        <v>10</v>
      </c>
      <c r="J136">
        <v>50</v>
      </c>
      <c r="K136">
        <v>0</v>
      </c>
      <c r="L136">
        <v>0</v>
      </c>
      <c r="M136">
        <v>0</v>
      </c>
      <c r="N136">
        <v>0</v>
      </c>
    </row>
    <row r="137" spans="1:14" x14ac:dyDescent="0.3">
      <c r="A137" t="s">
        <v>373</v>
      </c>
      <c r="B137" t="s">
        <v>29</v>
      </c>
      <c r="C137">
        <v>5</v>
      </c>
      <c r="D137">
        <v>6</v>
      </c>
      <c r="E137">
        <v>2</v>
      </c>
      <c r="F137">
        <v>2</v>
      </c>
      <c r="G137" t="s">
        <v>374</v>
      </c>
      <c r="H137" t="s">
        <v>322</v>
      </c>
      <c r="I137">
        <v>10</v>
      </c>
      <c r="J137">
        <v>50</v>
      </c>
      <c r="K137">
        <v>0</v>
      </c>
      <c r="L137">
        <v>0</v>
      </c>
      <c r="M137">
        <v>0</v>
      </c>
      <c r="N137">
        <v>0</v>
      </c>
    </row>
    <row r="138" spans="1:14" x14ac:dyDescent="0.3">
      <c r="A138" t="s">
        <v>375</v>
      </c>
      <c r="B138" t="s">
        <v>75</v>
      </c>
      <c r="C138">
        <v>5</v>
      </c>
      <c r="D138">
        <v>6</v>
      </c>
      <c r="E138">
        <v>2</v>
      </c>
      <c r="F138">
        <v>0</v>
      </c>
      <c r="G138" t="s">
        <v>346</v>
      </c>
      <c r="H138" t="s">
        <v>376</v>
      </c>
      <c r="I138">
        <v>14</v>
      </c>
      <c r="J138">
        <v>35.71</v>
      </c>
      <c r="K138">
        <v>0</v>
      </c>
      <c r="L138">
        <v>0</v>
      </c>
      <c r="M138">
        <v>0</v>
      </c>
      <c r="N138">
        <v>0</v>
      </c>
    </row>
    <row r="139" spans="1:14" x14ac:dyDescent="0.3">
      <c r="A139" t="s">
        <v>377</v>
      </c>
      <c r="B139" t="s">
        <v>33</v>
      </c>
      <c r="C139">
        <v>4</v>
      </c>
      <c r="D139">
        <v>4</v>
      </c>
      <c r="E139">
        <v>1</v>
      </c>
      <c r="F139">
        <v>1</v>
      </c>
      <c r="G139" t="s">
        <v>374</v>
      </c>
      <c r="H139" t="s">
        <v>322</v>
      </c>
      <c r="I139">
        <v>1</v>
      </c>
      <c r="J139">
        <v>400</v>
      </c>
      <c r="K139">
        <v>0</v>
      </c>
      <c r="L139">
        <v>0</v>
      </c>
      <c r="M139">
        <v>1</v>
      </c>
      <c r="N139">
        <v>0</v>
      </c>
    </row>
    <row r="140" spans="1:14" x14ac:dyDescent="0.3">
      <c r="A140" t="s">
        <v>378</v>
      </c>
      <c r="B140" t="s">
        <v>23</v>
      </c>
      <c r="C140">
        <v>4</v>
      </c>
      <c r="D140">
        <v>15</v>
      </c>
      <c r="E140">
        <v>3</v>
      </c>
      <c r="F140">
        <v>1</v>
      </c>
      <c r="G140" t="s">
        <v>359</v>
      </c>
      <c r="H140" t="s">
        <v>379</v>
      </c>
      <c r="I140">
        <v>8</v>
      </c>
      <c r="J140">
        <v>50</v>
      </c>
      <c r="K140">
        <v>0</v>
      </c>
      <c r="L140">
        <v>0</v>
      </c>
      <c r="M140">
        <v>0</v>
      </c>
      <c r="N140">
        <v>0</v>
      </c>
    </row>
    <row r="141" spans="1:14" x14ac:dyDescent="0.3">
      <c r="A141" t="s">
        <v>380</v>
      </c>
      <c r="B141" t="s">
        <v>37</v>
      </c>
      <c r="C141">
        <v>4</v>
      </c>
      <c r="D141">
        <v>4</v>
      </c>
      <c r="E141">
        <v>1</v>
      </c>
      <c r="F141">
        <v>1</v>
      </c>
      <c r="G141" t="s">
        <v>374</v>
      </c>
      <c r="H141" t="s">
        <v>322</v>
      </c>
      <c r="I141">
        <v>9</v>
      </c>
      <c r="J141">
        <v>44.44</v>
      </c>
      <c r="K141">
        <v>0</v>
      </c>
      <c r="L141">
        <v>0</v>
      </c>
      <c r="M141">
        <v>0</v>
      </c>
      <c r="N141">
        <v>0</v>
      </c>
    </row>
    <row r="142" spans="1:14" x14ac:dyDescent="0.3">
      <c r="A142" t="s">
        <v>381</v>
      </c>
      <c r="B142" t="s">
        <v>44</v>
      </c>
      <c r="C142">
        <v>3</v>
      </c>
      <c r="D142">
        <v>1</v>
      </c>
      <c r="E142">
        <v>1</v>
      </c>
      <c r="F142">
        <v>0</v>
      </c>
      <c r="G142" t="s">
        <v>359</v>
      </c>
      <c r="H142" t="s">
        <v>368</v>
      </c>
      <c r="I142">
        <v>4</v>
      </c>
      <c r="J142">
        <v>75</v>
      </c>
      <c r="K142">
        <v>0</v>
      </c>
      <c r="L142">
        <v>0</v>
      </c>
      <c r="M142">
        <v>0</v>
      </c>
      <c r="N142">
        <v>0</v>
      </c>
    </row>
    <row r="143" spans="1:14" x14ac:dyDescent="0.3">
      <c r="A143" t="s">
        <v>382</v>
      </c>
      <c r="B143" t="s">
        <v>15</v>
      </c>
      <c r="C143">
        <v>3</v>
      </c>
      <c r="D143">
        <v>15</v>
      </c>
      <c r="E143">
        <v>1</v>
      </c>
      <c r="F143">
        <v>1</v>
      </c>
      <c r="G143" t="s">
        <v>383</v>
      </c>
      <c r="H143" t="s">
        <v>322</v>
      </c>
      <c r="I143">
        <v>4</v>
      </c>
      <c r="J143">
        <v>75</v>
      </c>
      <c r="K143">
        <v>0</v>
      </c>
      <c r="L143">
        <v>0</v>
      </c>
      <c r="M143">
        <v>0</v>
      </c>
      <c r="N143">
        <v>0</v>
      </c>
    </row>
    <row r="144" spans="1:14" x14ac:dyDescent="0.3">
      <c r="A144" t="s">
        <v>384</v>
      </c>
      <c r="B144" t="s">
        <v>37</v>
      </c>
      <c r="C144">
        <v>3</v>
      </c>
      <c r="D144">
        <v>4</v>
      </c>
      <c r="E144">
        <v>2</v>
      </c>
      <c r="F144">
        <v>0</v>
      </c>
      <c r="G144" t="s">
        <v>385</v>
      </c>
      <c r="H144" t="s">
        <v>386</v>
      </c>
      <c r="I144">
        <v>5</v>
      </c>
      <c r="J144">
        <v>60</v>
      </c>
      <c r="K144">
        <v>0</v>
      </c>
      <c r="L144">
        <v>0</v>
      </c>
      <c r="M144">
        <v>0</v>
      </c>
      <c r="N144">
        <v>0</v>
      </c>
    </row>
    <row r="145" spans="1:14" x14ac:dyDescent="0.3">
      <c r="A145" t="s">
        <v>387</v>
      </c>
      <c r="B145" t="s">
        <v>53</v>
      </c>
      <c r="C145">
        <v>3</v>
      </c>
      <c r="D145">
        <v>4</v>
      </c>
      <c r="E145">
        <v>3</v>
      </c>
      <c r="F145">
        <v>1</v>
      </c>
      <c r="G145" t="s">
        <v>383</v>
      </c>
      <c r="H145" t="s">
        <v>386</v>
      </c>
      <c r="I145">
        <v>7</v>
      </c>
      <c r="J145">
        <v>42.85</v>
      </c>
      <c r="K145">
        <v>0</v>
      </c>
      <c r="L145">
        <v>0</v>
      </c>
      <c r="M145">
        <v>0</v>
      </c>
      <c r="N145">
        <v>0</v>
      </c>
    </row>
    <row r="146" spans="1:14" x14ac:dyDescent="0.3">
      <c r="A146" t="s">
        <v>388</v>
      </c>
      <c r="B146" t="s">
        <v>37</v>
      </c>
      <c r="C146">
        <v>2</v>
      </c>
      <c r="D146">
        <v>5</v>
      </c>
      <c r="E146">
        <v>1</v>
      </c>
      <c r="F146">
        <v>1</v>
      </c>
      <c r="G146" t="s">
        <v>363</v>
      </c>
      <c r="H146" t="s">
        <v>322</v>
      </c>
      <c r="I146">
        <v>2</v>
      </c>
      <c r="J146">
        <v>100</v>
      </c>
      <c r="K146">
        <v>0</v>
      </c>
      <c r="L146">
        <v>0</v>
      </c>
      <c r="M146">
        <v>0</v>
      </c>
      <c r="N146">
        <v>0</v>
      </c>
    </row>
    <row r="147" spans="1:14" x14ac:dyDescent="0.3">
      <c r="A147" t="s">
        <v>389</v>
      </c>
      <c r="B147" t="s">
        <v>19</v>
      </c>
      <c r="C147">
        <v>2</v>
      </c>
      <c r="D147">
        <v>16</v>
      </c>
      <c r="E147">
        <v>2</v>
      </c>
      <c r="F147">
        <v>1</v>
      </c>
      <c r="G147" t="s">
        <v>390</v>
      </c>
      <c r="H147" t="s">
        <v>379</v>
      </c>
      <c r="I147">
        <v>3</v>
      </c>
      <c r="J147">
        <v>66.66</v>
      </c>
      <c r="K147">
        <v>0</v>
      </c>
      <c r="L147">
        <v>0</v>
      </c>
      <c r="M147">
        <v>0</v>
      </c>
      <c r="N147">
        <v>0</v>
      </c>
    </row>
    <row r="148" spans="1:14" x14ac:dyDescent="0.3">
      <c r="A148" t="s">
        <v>391</v>
      </c>
      <c r="B148" t="s">
        <v>75</v>
      </c>
      <c r="C148">
        <v>2</v>
      </c>
      <c r="D148">
        <v>4</v>
      </c>
      <c r="E148">
        <v>2</v>
      </c>
      <c r="F148">
        <v>2</v>
      </c>
      <c r="G148" t="s">
        <v>390</v>
      </c>
      <c r="H148" t="s">
        <v>322</v>
      </c>
      <c r="I148">
        <v>4</v>
      </c>
      <c r="J148">
        <v>50</v>
      </c>
      <c r="K148">
        <v>0</v>
      </c>
      <c r="L148">
        <v>0</v>
      </c>
      <c r="M148">
        <v>0</v>
      </c>
      <c r="N148">
        <v>0</v>
      </c>
    </row>
    <row r="149" spans="1:14" x14ac:dyDescent="0.3">
      <c r="A149" t="s">
        <v>392</v>
      </c>
      <c r="B149" t="s">
        <v>33</v>
      </c>
      <c r="C149">
        <v>2</v>
      </c>
      <c r="D149">
        <v>17</v>
      </c>
      <c r="E149">
        <v>2</v>
      </c>
      <c r="F149">
        <v>1</v>
      </c>
      <c r="G149" t="s">
        <v>390</v>
      </c>
      <c r="H149" t="s">
        <v>379</v>
      </c>
      <c r="I149">
        <v>6</v>
      </c>
      <c r="J149">
        <v>33.33</v>
      </c>
      <c r="K149">
        <v>0</v>
      </c>
      <c r="L149">
        <v>0</v>
      </c>
      <c r="M149">
        <v>0</v>
      </c>
      <c r="N149">
        <v>0</v>
      </c>
    </row>
    <row r="150" spans="1:14" x14ac:dyDescent="0.3">
      <c r="A150" t="s">
        <v>393</v>
      </c>
      <c r="B150" t="s">
        <v>75</v>
      </c>
      <c r="C150">
        <v>1</v>
      </c>
      <c r="D150">
        <v>13</v>
      </c>
      <c r="E150">
        <v>1</v>
      </c>
      <c r="F150">
        <v>1</v>
      </c>
      <c r="G150" t="s">
        <v>390</v>
      </c>
      <c r="H150" t="s">
        <v>322</v>
      </c>
      <c r="I150">
        <v>1</v>
      </c>
      <c r="J150">
        <v>100</v>
      </c>
      <c r="K150">
        <v>0</v>
      </c>
      <c r="L150">
        <v>0</v>
      </c>
      <c r="M150">
        <v>0</v>
      </c>
      <c r="N150">
        <v>0</v>
      </c>
    </row>
    <row r="151" spans="1:14" x14ac:dyDescent="0.3">
      <c r="A151" t="s">
        <v>394</v>
      </c>
      <c r="B151" t="s">
        <v>19</v>
      </c>
      <c r="C151">
        <v>1</v>
      </c>
      <c r="D151">
        <v>2</v>
      </c>
      <c r="E151">
        <v>1</v>
      </c>
      <c r="F151">
        <v>1</v>
      </c>
      <c r="G151" t="s">
        <v>390</v>
      </c>
      <c r="H151" t="s">
        <v>322</v>
      </c>
      <c r="I151">
        <v>1</v>
      </c>
      <c r="J151">
        <v>100</v>
      </c>
      <c r="K151">
        <v>0</v>
      </c>
      <c r="L151">
        <v>0</v>
      </c>
      <c r="M151">
        <v>0</v>
      </c>
      <c r="N151">
        <v>0</v>
      </c>
    </row>
    <row r="152" spans="1:14" x14ac:dyDescent="0.3">
      <c r="A152" t="s">
        <v>395</v>
      </c>
      <c r="B152" t="s">
        <v>19</v>
      </c>
      <c r="C152">
        <v>1</v>
      </c>
      <c r="D152">
        <v>6</v>
      </c>
      <c r="E152">
        <v>1</v>
      </c>
      <c r="F152">
        <v>1</v>
      </c>
      <c r="G152" t="s">
        <v>390</v>
      </c>
      <c r="H152" t="s">
        <v>322</v>
      </c>
      <c r="I152">
        <v>1</v>
      </c>
      <c r="J152">
        <v>100</v>
      </c>
      <c r="K152">
        <v>0</v>
      </c>
      <c r="L152">
        <v>0</v>
      </c>
      <c r="M152">
        <v>0</v>
      </c>
      <c r="N152">
        <v>0</v>
      </c>
    </row>
    <row r="153" spans="1:14" x14ac:dyDescent="0.3">
      <c r="A153" t="s">
        <v>396</v>
      </c>
      <c r="B153" t="s">
        <v>88</v>
      </c>
      <c r="C153">
        <v>1</v>
      </c>
      <c r="D153">
        <v>14</v>
      </c>
      <c r="E153">
        <v>2</v>
      </c>
      <c r="F153">
        <v>2</v>
      </c>
      <c r="G153" t="s">
        <v>390</v>
      </c>
      <c r="H153" t="s">
        <v>322</v>
      </c>
      <c r="I153">
        <v>2</v>
      </c>
      <c r="J153">
        <v>50</v>
      </c>
      <c r="K153">
        <v>0</v>
      </c>
      <c r="L153">
        <v>0</v>
      </c>
      <c r="M153">
        <v>0</v>
      </c>
      <c r="N153">
        <v>0</v>
      </c>
    </row>
    <row r="154" spans="1:14" x14ac:dyDescent="0.3">
      <c r="A154" t="s">
        <v>397</v>
      </c>
      <c r="B154" t="s">
        <v>44</v>
      </c>
      <c r="C154">
        <v>1</v>
      </c>
      <c r="D154">
        <v>8</v>
      </c>
      <c r="E154">
        <v>2</v>
      </c>
      <c r="F154">
        <v>1</v>
      </c>
      <c r="G154" t="s">
        <v>390</v>
      </c>
      <c r="H154" t="s">
        <v>398</v>
      </c>
      <c r="I154">
        <v>3</v>
      </c>
      <c r="J154">
        <v>33.33</v>
      </c>
      <c r="K154">
        <v>0</v>
      </c>
      <c r="L154">
        <v>0</v>
      </c>
      <c r="M154">
        <v>0</v>
      </c>
      <c r="N154">
        <v>0</v>
      </c>
    </row>
    <row r="155" spans="1:14" x14ac:dyDescent="0.3">
      <c r="A155" t="s">
        <v>399</v>
      </c>
      <c r="B155" t="s">
        <v>44</v>
      </c>
      <c r="C155">
        <v>1</v>
      </c>
      <c r="D155">
        <v>1</v>
      </c>
      <c r="E155">
        <v>1</v>
      </c>
      <c r="F155">
        <v>0</v>
      </c>
      <c r="G155" t="s">
        <v>400</v>
      </c>
      <c r="H155" t="s">
        <v>398</v>
      </c>
      <c r="I155">
        <v>3</v>
      </c>
      <c r="J155">
        <v>33.33</v>
      </c>
      <c r="K155">
        <v>0</v>
      </c>
      <c r="L155">
        <v>0</v>
      </c>
      <c r="M155">
        <v>0</v>
      </c>
      <c r="N155">
        <v>0</v>
      </c>
    </row>
    <row r="156" spans="1:14" x14ac:dyDescent="0.3">
      <c r="A156" t="s">
        <v>401</v>
      </c>
      <c r="B156" t="s">
        <v>29</v>
      </c>
      <c r="C156">
        <v>1</v>
      </c>
      <c r="D156">
        <v>13</v>
      </c>
      <c r="E156">
        <v>2</v>
      </c>
      <c r="F156">
        <v>1</v>
      </c>
      <c r="G156" t="s">
        <v>400</v>
      </c>
      <c r="H156" t="s">
        <v>398</v>
      </c>
      <c r="I156">
        <v>3</v>
      </c>
      <c r="J156">
        <v>33.33</v>
      </c>
      <c r="K156">
        <v>0</v>
      </c>
      <c r="L156">
        <v>0</v>
      </c>
      <c r="M156">
        <v>0</v>
      </c>
      <c r="N156">
        <v>0</v>
      </c>
    </row>
    <row r="157" spans="1:14" x14ac:dyDescent="0.3">
      <c r="A157" t="s">
        <v>402</v>
      </c>
      <c r="B157" t="s">
        <v>23</v>
      </c>
      <c r="C157">
        <v>1</v>
      </c>
      <c r="D157">
        <v>1</v>
      </c>
      <c r="E157">
        <v>1</v>
      </c>
      <c r="F157">
        <v>0</v>
      </c>
      <c r="G157" t="s">
        <v>400</v>
      </c>
      <c r="H157" t="s">
        <v>398</v>
      </c>
      <c r="I157">
        <v>4</v>
      </c>
      <c r="J157">
        <v>25</v>
      </c>
      <c r="K157">
        <v>0</v>
      </c>
      <c r="L157">
        <v>0</v>
      </c>
      <c r="M157">
        <v>0</v>
      </c>
      <c r="N157">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6088-0C33-4E64-B3A1-73BE0C30BEEE}">
  <dimension ref="A1"/>
  <sheetViews>
    <sheetView showGridLines="0" showRowColHeaders="0" tabSelected="1" zoomScale="63" zoomScaleNormal="62" workbookViewId="0">
      <selection activeCell="AG57" sqref="AG57"/>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654391-C9B0-4BC8-A29A-7C47892EB3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Players by Runs</vt:lpstr>
      <vt:lpstr>Runs by Team</vt:lpstr>
      <vt:lpstr>Strike Rate vs Player</vt:lpstr>
      <vt:lpstr>Boundaries Analysis</vt:lpstr>
      <vt:lpstr>Team wise 100s &amp; 50s</vt:lpstr>
      <vt:lpstr>Slicer1</vt:lpstr>
      <vt:lpstr>IPL2025Batters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Mahajan</dc:creator>
  <cp:lastModifiedBy>Chetan Mahajan</cp:lastModifiedBy>
  <dcterms:created xsi:type="dcterms:W3CDTF">2026-04-21T17:40:12Z</dcterms:created>
  <dcterms:modified xsi:type="dcterms:W3CDTF">2026-05-29T10:01:16Z</dcterms:modified>
</cp:coreProperties>
</file>